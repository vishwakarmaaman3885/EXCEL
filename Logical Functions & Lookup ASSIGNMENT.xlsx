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32F588E-D84C-4B86-B5DC-49860CA2DD4F}" xr6:coauthVersionLast="36" xr6:coauthVersionMax="36" xr10:uidLastSave="{00000000-0000-0000-0000-000000000000}"/>
  <bookViews>
    <workbookView xWindow="0" yWindow="0" windowWidth="20460" windowHeight="6795" xr2:uid="{D0A16676-2B3C-4C5F-8494-7972425D167A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8" l="1"/>
  <c r="A19" i="7"/>
  <c r="A21" i="6"/>
  <c r="A22" i="6"/>
  <c r="A20" i="6"/>
  <c r="A14" i="5"/>
  <c r="A14" i="4"/>
  <c r="H17" i="4" l="1"/>
  <c r="A12" i="3"/>
  <c r="A13" i="3"/>
  <c r="A14" i="3"/>
  <c r="A15" i="3"/>
  <c r="A11" i="3"/>
  <c r="A12" i="2"/>
  <c r="A13" i="2"/>
  <c r="A14" i="2"/>
  <c r="A11" i="2"/>
  <c r="A15" i="1"/>
</calcChain>
</file>

<file path=xl/sharedStrings.xml><?xml version="1.0" encoding="utf-8"?>
<sst xmlns="http://schemas.openxmlformats.org/spreadsheetml/2006/main" count="127" uniqueCount="110">
  <si>
    <t>Q.1 Write a formula to check if the marks in cell B2 are greater than or equal to 40. If yes, return ,"pass" otherwise "Fail".</t>
  </si>
  <si>
    <r>
      <t xml:space="preserve">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 xml:space="preserve">        Logical Functions &amp; Lookup</t>
    </r>
  </si>
  <si>
    <r>
      <t xml:space="preserve">                                                                                                                                                  </t>
    </r>
    <r>
      <rPr>
        <sz val="12"/>
        <color theme="1"/>
        <rFont val="Calibri"/>
        <family val="2"/>
        <scheme val="minor"/>
      </rPr>
      <t>Assignment</t>
    </r>
  </si>
  <si>
    <t>Student Name                  Marks</t>
  </si>
  <si>
    <t>Riya</t>
  </si>
  <si>
    <t>Riya                                         45</t>
  </si>
  <si>
    <t>Siya                                          72</t>
  </si>
  <si>
    <t>Raju</t>
  </si>
  <si>
    <t>Rahul                                       80</t>
  </si>
  <si>
    <t>Raju                                         55</t>
  </si>
  <si>
    <t>Ram                                         30</t>
  </si>
  <si>
    <t>ANSWER:</t>
  </si>
  <si>
    <t>The Formula</t>
  </si>
  <si>
    <r>
      <t xml:space="preserve">To check the marks in cell </t>
    </r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(Riya's marks), enter this formula in cell </t>
    </r>
    <r>
      <rPr>
        <b/>
        <sz val="11"/>
        <color theme="1"/>
        <rFont val="Calibri"/>
        <family val="2"/>
        <scheme val="minor"/>
      </rPr>
      <t>C2</t>
    </r>
    <r>
      <rPr>
        <sz val="11"/>
        <color theme="1"/>
        <rFont val="Calibri"/>
        <family val="2"/>
        <scheme val="minor"/>
      </rPr>
      <t>:</t>
    </r>
  </si>
  <si>
    <t>Q.2  company gives a bonus  if sales are above 40,000 and attendance is greater than or equal to 90%. Write a formula to calculate whether the employee will get a bonus or not .</t>
  </si>
  <si>
    <t xml:space="preserve">                                                                                                                                             Employee         </t>
  </si>
  <si>
    <t xml:space="preserve">                                                                                                                                                                                             Rohit                      </t>
  </si>
  <si>
    <t xml:space="preserve">                                                                                                                                                                                             Anjali                   </t>
  </si>
  <si>
    <t xml:space="preserve">                                                                                                                                                                                             Arjun                      </t>
  </si>
  <si>
    <t xml:space="preserve">                                                                                                                                                                                           Simran                  </t>
  </si>
  <si>
    <t>Sales</t>
  </si>
  <si>
    <t xml:space="preserve">        Sales</t>
  </si>
  <si>
    <t>Attendance</t>
  </si>
  <si>
    <t>Bonus:</t>
  </si>
  <si>
    <t xml:space="preserve">Q.3  Write a nested IF formula:     </t>
  </si>
  <si>
    <t>If marks in B2 are ≥ 90 → , "A"≥ 75 → , "B"≥ 50 → , otherwise "C" "Fail".</t>
  </si>
  <si>
    <t xml:space="preserve">                                                                                   Student Name</t>
  </si>
  <si>
    <t xml:space="preserve">                                                                                          Neha</t>
  </si>
  <si>
    <t xml:space="preserve">                                                                                          Vivek</t>
  </si>
  <si>
    <t xml:space="preserve">                                                                                          Rani</t>
  </si>
  <si>
    <t xml:space="preserve">                                                                                          Sneha</t>
  </si>
  <si>
    <t xml:space="preserve">    Marks</t>
  </si>
  <si>
    <t>Answer:</t>
  </si>
  <si>
    <t xml:space="preserve">                                                                                          Raj</t>
  </si>
  <si>
    <t>Grade</t>
  </si>
  <si>
    <t>Q.4  Find the Department of Employee ID = E103. Also explain which LOOKUP function is used and why?</t>
  </si>
  <si>
    <t xml:space="preserve">                                                              EmpID</t>
  </si>
  <si>
    <t>Name</t>
  </si>
  <si>
    <t>Department</t>
  </si>
  <si>
    <t xml:space="preserve">                                                                E101</t>
  </si>
  <si>
    <t>IT</t>
  </si>
  <si>
    <t xml:space="preserve">                                                                E102</t>
  </si>
  <si>
    <t>HR</t>
  </si>
  <si>
    <t xml:space="preserve">                                                                E103</t>
  </si>
  <si>
    <t>Roshni</t>
  </si>
  <si>
    <t>Finance</t>
  </si>
  <si>
    <t xml:space="preserve">                                                                E104</t>
  </si>
  <si>
    <t>Sejal</t>
  </si>
  <si>
    <t>Department for Employee ID E103</t>
  </si>
  <si>
    <r>
      <t xml:space="preserve">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>.</t>
    </r>
  </si>
  <si>
    <t>Which LOOKUP function is used?</t>
  </si>
  <si>
    <r>
      <t>VLOOKUP</t>
    </r>
    <r>
      <rPr>
        <sz val="11"/>
        <color theme="1"/>
        <rFont val="Calibri"/>
        <family val="2"/>
        <scheme val="minor"/>
      </rPr>
      <t xml:space="preserve"> is used.</t>
    </r>
  </si>
  <si>
    <t>Which LOOKUP function is used and why?</t>
  </si>
  <si>
    <r>
      <t>VLOOKUP</t>
    </r>
    <r>
      <rPr>
        <sz val="11"/>
        <color theme="1"/>
        <rFont val="Calibri"/>
        <family val="2"/>
        <scheme val="minor"/>
      </rPr>
      <t xml:space="preserve"> is the most appropriate function here.</t>
    </r>
  </si>
  <si>
    <t>Why VLOOKUP?</t>
  </si>
  <si>
    <r>
      <t xml:space="preserve">The </t>
    </r>
    <r>
      <rPr>
        <b/>
        <sz val="11"/>
        <color theme="1"/>
        <rFont val="Calibri"/>
        <family val="2"/>
        <scheme val="minor"/>
      </rPr>
      <t>Employee ID</t>
    </r>
    <r>
      <rPr>
        <sz val="11"/>
        <color theme="1"/>
        <rFont val="Calibri"/>
        <family val="2"/>
        <scheme val="minor"/>
      </rPr>
      <t xml:space="preserve"> is in the </t>
    </r>
    <r>
      <rPr>
        <b/>
        <sz val="11"/>
        <color theme="1"/>
        <rFont val="Calibri"/>
        <family val="2"/>
        <scheme val="minor"/>
      </rPr>
      <t>first column</t>
    </r>
    <r>
      <rPr>
        <sz val="11"/>
        <color theme="1"/>
        <rFont val="Calibri"/>
        <family val="2"/>
        <scheme val="minor"/>
      </rPr>
      <t xml:space="preserve"> of the table.</t>
    </r>
  </si>
  <si>
    <r>
      <t>We want to find a related value (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) from another column.</t>
    </r>
  </si>
  <si>
    <r>
      <t xml:space="preserve">The data is arranged </t>
    </r>
    <r>
      <rPr>
        <b/>
        <sz val="11"/>
        <color theme="1"/>
        <rFont val="Calibri"/>
        <family val="2"/>
        <scheme val="minor"/>
      </rPr>
      <t>vertically</t>
    </r>
    <r>
      <rPr>
        <sz val="11"/>
        <color theme="1"/>
        <rFont val="Calibri"/>
        <family val="2"/>
        <scheme val="minor"/>
      </rPr>
      <t>, which is exactly what VLOOKUP is designed for.</t>
    </r>
  </si>
  <si>
    <t>Q.5  A company has set the following commission structure for its sales team:</t>
  </si>
  <si>
    <t xml:space="preserve">                                                                                     Sales Amount</t>
  </si>
  <si>
    <t>Commission Rate</t>
  </si>
  <si>
    <t>Sales Achieved: ₹45,000</t>
  </si>
  <si>
    <r>
      <t xml:space="preserve">Since the commission is based on </t>
    </r>
    <r>
      <rPr>
        <b/>
        <sz val="11"/>
        <color theme="1"/>
        <rFont val="Calibri"/>
        <family val="2"/>
        <scheme val="minor"/>
      </rPr>
      <t>sales slabs</t>
    </r>
    <r>
      <rPr>
        <sz val="11"/>
        <color theme="1"/>
        <rFont val="Calibri"/>
        <family val="2"/>
        <scheme val="minor"/>
      </rPr>
      <t xml:space="preserve">, we use </t>
    </r>
    <r>
      <rPr>
        <b/>
        <sz val="11"/>
        <color theme="1"/>
        <rFont val="Calibri"/>
        <family val="2"/>
        <scheme val="minor"/>
      </rPr>
      <t>VLOOKUP with approximate match (TRUE)</t>
    </r>
    <r>
      <rPr>
        <sz val="11"/>
        <color theme="1"/>
        <rFont val="Calibri"/>
        <family val="2"/>
        <scheme val="minor"/>
      </rPr>
      <t>.</t>
    </r>
  </si>
  <si>
    <t>If a salesperson achieves sales of ₹45,000, use the VLOOKUP function to determine the commission rate applicable</t>
  </si>
  <si>
    <t>Result Explanation</t>
  </si>
  <si>
    <r>
      <t xml:space="preserve">₹45,000 lies between </t>
    </r>
    <r>
      <rPr>
        <b/>
        <sz val="11"/>
        <color theme="1"/>
        <rFont val="Calibri"/>
        <family val="2"/>
        <scheme val="minor"/>
      </rPr>
      <t>₹20,000 and ₹50,000</t>
    </r>
  </si>
  <si>
    <r>
      <t xml:space="preserve">VLOOKUP picks the </t>
    </r>
    <r>
      <rPr>
        <b/>
        <sz val="11"/>
        <color theme="1"/>
        <rFont val="Calibri"/>
        <family val="2"/>
        <scheme val="minor"/>
      </rPr>
      <t>nearest lower value (₹20,000)</t>
    </r>
  </si>
  <si>
    <r>
      <t xml:space="preserve">Corresponding commission rate = </t>
    </r>
    <r>
      <rPr>
        <b/>
        <sz val="11"/>
        <color theme="1"/>
        <rFont val="Calibri"/>
        <family val="2"/>
        <scheme val="minor"/>
      </rPr>
      <t>10%</t>
    </r>
  </si>
  <si>
    <t>Final Answer</t>
  </si>
  <si>
    <t>Applicable Commission Rate = 10%</t>
  </si>
  <si>
    <t xml:space="preserve">Q.6  The HR department maintains the following leave records of employees:onus or not </t>
  </si>
  <si>
    <t xml:space="preserve">                                                                                                                     Employee Name</t>
  </si>
  <si>
    <t xml:space="preserve">                                                                                                                                  Alex</t>
  </si>
  <si>
    <t xml:space="preserve">                                                                                                                                  Bob</t>
  </si>
  <si>
    <t xml:space="preserve">                                                                                                                                 Anna</t>
  </si>
  <si>
    <t>Leaves Taken</t>
  </si>
  <si>
    <t>Leaves Allowed</t>
  </si>
  <si>
    <t>.Write an IF function to check whether an employee has Exceeded their allowed leave balance. If Leaves Taken &gt; Allowed Leaves, display "Exceeded".</t>
  </si>
  <si>
    <t>.Otherwise, display "OK".</t>
  </si>
  <si>
    <t>Excel IF Formula</t>
  </si>
  <si>
    <t>Assume:</t>
  </si>
  <si>
    <r>
      <t>Leaves Taken</t>
    </r>
    <r>
      <rPr>
        <sz val="11"/>
        <color theme="1"/>
        <rFont val="Calibri"/>
        <family val="2"/>
        <scheme val="minor"/>
      </rPr>
      <t xml:space="preserve"> is in column </t>
    </r>
    <r>
      <rPr>
        <b/>
        <sz val="11"/>
        <color theme="1"/>
        <rFont val="Calibri"/>
        <family val="2"/>
        <scheme val="minor"/>
      </rPr>
      <t>B</t>
    </r>
  </si>
  <si>
    <r>
      <t>Leaves Allowed</t>
    </r>
    <r>
      <rPr>
        <sz val="11"/>
        <color theme="1"/>
        <rFont val="Calibri"/>
        <family val="2"/>
        <scheme val="minor"/>
      </rPr>
      <t xml:space="preserve"> is in column </t>
    </r>
    <r>
      <rPr>
        <b/>
        <sz val="11"/>
        <color theme="1"/>
        <rFont val="Calibri"/>
        <family val="2"/>
        <scheme val="minor"/>
      </rPr>
      <t>C</t>
    </r>
  </si>
  <si>
    <r>
      <t xml:space="preserve">Formula is entered in </t>
    </r>
    <r>
      <rPr>
        <b/>
        <sz val="11"/>
        <color theme="1"/>
        <rFont val="Calibri"/>
        <family val="2"/>
        <scheme val="minor"/>
      </rPr>
      <t>D2</t>
    </r>
  </si>
  <si>
    <t>Result</t>
  </si>
  <si>
    <r>
      <t xml:space="preserve">Alex → 10 ≤ 12 → </t>
    </r>
    <r>
      <rPr>
        <b/>
        <sz val="11"/>
        <color theme="1"/>
        <rFont val="Calibri"/>
        <family val="2"/>
        <scheme val="minor"/>
      </rPr>
      <t>OK</t>
    </r>
  </si>
  <si>
    <r>
      <t xml:space="preserve">Bob → 10 ≤ 15 → </t>
    </r>
    <r>
      <rPr>
        <b/>
        <sz val="11"/>
        <color theme="1"/>
        <rFont val="Calibri"/>
        <family val="2"/>
        <scheme val="minor"/>
      </rPr>
      <t>OK</t>
    </r>
  </si>
  <si>
    <r>
      <t xml:space="preserve">Anna → 8 ≤ 12 → </t>
    </r>
    <r>
      <rPr>
        <b/>
        <sz val="11"/>
        <color theme="1"/>
        <rFont val="Calibri"/>
        <family val="2"/>
        <scheme val="minor"/>
      </rPr>
      <t>OK</t>
    </r>
  </si>
  <si>
    <t>Q.7 Find the salary of EmpID = E105 using INDEX-MATCH Function</t>
  </si>
  <si>
    <t xml:space="preserve">                                                                                      EmpID</t>
  </si>
  <si>
    <t xml:space="preserve">                                                                                       E104</t>
  </si>
  <si>
    <t xml:space="preserve">                                                                                       E105</t>
  </si>
  <si>
    <t xml:space="preserve">                                                                                       E106</t>
  </si>
  <si>
    <t xml:space="preserve">                                                                                       E102</t>
  </si>
  <si>
    <t>Salary</t>
  </si>
  <si>
    <t>INDEX–MATCH Formula</t>
  </si>
  <si>
    <r>
      <t xml:space="preserve">We want the salary for </t>
    </r>
    <r>
      <rPr>
        <b/>
        <sz val="11"/>
        <color theme="1"/>
        <rFont val="Calibri"/>
        <family val="2"/>
        <scheme val="minor"/>
      </rPr>
      <t>E105</t>
    </r>
  </si>
  <si>
    <r>
      <t>EmpID</t>
    </r>
    <r>
      <rPr>
        <sz val="11"/>
        <color theme="1"/>
        <rFont val="Calibri"/>
        <family val="2"/>
        <scheme val="minor"/>
      </rPr>
      <t xml:space="preserve"> is in column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(A3:A6)</t>
    </r>
  </si>
  <si>
    <r>
      <t>Salary</t>
    </r>
    <r>
      <rPr>
        <sz val="11"/>
        <color theme="1"/>
        <rFont val="Calibri"/>
        <family val="2"/>
        <scheme val="minor"/>
      </rPr>
      <t xml:space="preserve"> is in column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(B3:B6)</t>
    </r>
  </si>
  <si>
    <t>Salary of EmpID E105 = 72,000</t>
  </si>
  <si>
    <t>Q.8  Use the XLOOKUP function to find the Department of the employee with Emp ID = E303.</t>
  </si>
  <si>
    <t xml:space="preserve">                                                                                                                     EmpID</t>
  </si>
  <si>
    <t xml:space="preserve">                                                                                                                      E101</t>
  </si>
  <si>
    <t xml:space="preserve">                                                                                                                      E303</t>
  </si>
  <si>
    <t xml:space="preserve">                                                                                                                      E106</t>
  </si>
  <si>
    <t xml:space="preserve">                                                                                                                      E301</t>
  </si>
  <si>
    <t>XLOOKUP Formula</t>
  </si>
  <si>
    <r>
      <t>Department</t>
    </r>
    <r>
      <rPr>
        <sz val="11"/>
        <color theme="1"/>
        <rFont val="Calibri"/>
        <family val="2"/>
        <scheme val="minor"/>
      </rPr>
      <t xml:space="preserve"> is in column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(B3:B6)</t>
    </r>
  </si>
  <si>
    <t>Department of Emp ID E303 = IT</t>
  </si>
  <si>
    <t>XLOOKUP IS NOT WORKING FOR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</si>
</sst>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sz val="11"/>
      <color theme="1"/>
      <name val="Courier New"/>
      <family val="3"/>
    </font>
    <font>
      <sz val="9.6"/>
      <color theme="1"/>
      <name val="Courier New"/>
      <family val="3"/>
    </font>
    <font>
      <b/>
      <sz val="12"/>
      <color theme="1"/>
      <name val="Calibri"/>
      <family val="2"/>
      <scheme val="minor"/>
    </font>
    <font>
      <sz val="11"/>
      <color theme="1"/>
      <name val="Courier New"/>
      <family val="3"/>
    </font>
  </fonts>
  <fills count="2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3" fillId="4" borderId="0" xfId="0" applyFont="1" applyFill="1" applyAlignment="1">
      <alignment wrapText="1"/>
    </xf>
    <xf numFmtId="0" fontId="0" fillId="5" borderId="0" xfId="0" applyFill="1"/>
    <xf numFmtId="0" fontId="6" fillId="6" borderId="0" xfId="0" applyFont="1" applyFill="1"/>
    <xf numFmtId="0" fontId="7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0" fontId="0" fillId="7" borderId="0" xfId="0" applyFill="1"/>
    <xf numFmtId="0" fontId="8" fillId="8" borderId="0" xfId="0" applyFont="1" applyFill="1" applyAlignment="1">
      <alignment wrapText="1"/>
    </xf>
    <xf numFmtId="0" fontId="1" fillId="10" borderId="0" xfId="0" applyFont="1" applyFill="1"/>
    <xf numFmtId="0" fontId="0" fillId="12" borderId="0" xfId="0" applyFill="1" applyBorder="1"/>
    <xf numFmtId="0" fontId="9" fillId="0" borderId="0" xfId="0" applyFont="1"/>
    <xf numFmtId="0" fontId="4" fillId="14" borderId="0" xfId="0" applyFont="1" applyFill="1" applyBorder="1"/>
    <xf numFmtId="0" fontId="0" fillId="14" borderId="0" xfId="0" applyFill="1"/>
    <xf numFmtId="0" fontId="0" fillId="14" borderId="0" xfId="0" applyFill="1" applyBorder="1"/>
    <xf numFmtId="0" fontId="0" fillId="3" borderId="0" xfId="0" applyFill="1" applyBorder="1"/>
    <xf numFmtId="0" fontId="9" fillId="15" borderId="0" xfId="0" applyFont="1" applyFill="1"/>
    <xf numFmtId="0" fontId="0" fillId="11" borderId="0" xfId="0" applyFill="1"/>
    <xf numFmtId="0" fontId="0" fillId="11" borderId="0" xfId="0" applyFill="1" applyAlignment="1">
      <alignment wrapText="1"/>
    </xf>
    <xf numFmtId="0" fontId="0" fillId="6" borderId="0" xfId="0" applyFill="1"/>
    <xf numFmtId="0" fontId="0" fillId="10" borderId="0" xfId="0" applyFont="1" applyFill="1"/>
    <xf numFmtId="0" fontId="0" fillId="10" borderId="0" xfId="0" applyFill="1" applyAlignment="1">
      <alignment wrapText="1"/>
    </xf>
    <xf numFmtId="0" fontId="10" fillId="5" borderId="0" xfId="0" applyFont="1" applyFill="1"/>
    <xf numFmtId="0" fontId="0" fillId="3" borderId="0" xfId="0" applyFill="1" applyAlignment="1">
      <alignment wrapText="1"/>
    </xf>
    <xf numFmtId="0" fontId="0" fillId="10" borderId="2" xfId="0" applyFill="1" applyBorder="1"/>
    <xf numFmtId="0" fontId="0" fillId="16" borderId="1" xfId="0" applyFill="1" applyBorder="1"/>
    <xf numFmtId="0" fontId="7" fillId="17" borderId="0" xfId="0" applyFont="1" applyFill="1" applyAlignment="1">
      <alignment vertical="center"/>
    </xf>
    <xf numFmtId="0" fontId="0" fillId="17" borderId="0" xfId="0" applyFill="1"/>
    <xf numFmtId="0" fontId="2" fillId="0" borderId="0" xfId="0" applyFont="1"/>
    <xf numFmtId="0" fontId="7" fillId="8" borderId="0" xfId="0" applyFont="1" applyFill="1" applyAlignment="1">
      <alignment vertical="center"/>
    </xf>
    <xf numFmtId="0" fontId="0" fillId="8" borderId="0" xfId="0" applyFill="1"/>
    <xf numFmtId="0" fontId="2" fillId="8" borderId="0" xfId="0" applyFont="1" applyFill="1"/>
    <xf numFmtId="0" fontId="0" fillId="15" borderId="0" xfId="0" applyFill="1"/>
    <xf numFmtId="0" fontId="7" fillId="18" borderId="0" xfId="0" applyFont="1" applyFill="1" applyAlignment="1">
      <alignment vertical="center"/>
    </xf>
    <xf numFmtId="0" fontId="0" fillId="18" borderId="0" xfId="0" applyFill="1"/>
    <xf numFmtId="0" fontId="2" fillId="18" borderId="0" xfId="0" applyFont="1" applyFill="1"/>
    <xf numFmtId="0" fontId="11" fillId="11" borderId="0" xfId="0" applyFont="1" applyFill="1" applyAlignment="1">
      <alignment vertical="center" wrapText="1"/>
    </xf>
    <xf numFmtId="0" fontId="0" fillId="11" borderId="0" xfId="0" applyFill="1" applyAlignment="1">
      <alignment horizontal="left" vertical="center" wrapText="1"/>
    </xf>
    <xf numFmtId="0" fontId="0" fillId="13" borderId="0" xfId="0" applyFill="1" applyAlignment="1">
      <alignment wrapText="1"/>
    </xf>
    <xf numFmtId="0" fontId="0" fillId="19" borderId="1" xfId="0" applyFill="1" applyBorder="1"/>
    <xf numFmtId="9" fontId="0" fillId="19" borderId="1" xfId="0" applyNumberFormat="1" applyFill="1" applyBorder="1"/>
    <xf numFmtId="0" fontId="7" fillId="13" borderId="0" xfId="0" applyFont="1" applyFill="1" applyAlignment="1">
      <alignment vertical="center"/>
    </xf>
    <xf numFmtId="0" fontId="0" fillId="9" borderId="0" xfId="0" applyFill="1" applyAlignment="1">
      <alignment wrapText="1"/>
    </xf>
    <xf numFmtId="0" fontId="0" fillId="16" borderId="0" xfId="0" applyFill="1"/>
    <xf numFmtId="0" fontId="7" fillId="15" borderId="0" xfId="0" applyFont="1" applyFill="1" applyAlignment="1">
      <alignment vertical="center"/>
    </xf>
    <xf numFmtId="0" fontId="0" fillId="15" borderId="0" xfId="0" applyFill="1" applyAlignment="1">
      <alignment horizontal="left" vertical="center" indent="1"/>
    </xf>
    <xf numFmtId="0" fontId="7" fillId="3" borderId="0" xfId="0" applyFont="1" applyFill="1" applyAlignment="1">
      <alignment vertical="center"/>
    </xf>
    <xf numFmtId="0" fontId="2" fillId="3" borderId="0" xfId="0" applyFont="1" applyFill="1"/>
    <xf numFmtId="0" fontId="12" fillId="20" borderId="0" xfId="0" applyFont="1" applyFill="1"/>
    <xf numFmtId="0" fontId="0" fillId="21" borderId="1" xfId="0" applyFont="1" applyFill="1" applyBorder="1"/>
    <xf numFmtId="0" fontId="0" fillId="19" borderId="0" xfId="0" applyFill="1" applyAlignment="1">
      <alignment wrapText="1"/>
    </xf>
    <xf numFmtId="0" fontId="0" fillId="19" borderId="0" xfId="0" applyFill="1"/>
    <xf numFmtId="0" fontId="7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0" fillId="10" borderId="0" xfId="0" applyFill="1"/>
    <xf numFmtId="0" fontId="7" fillId="22" borderId="0" xfId="0" applyFont="1" applyFill="1" applyAlignment="1">
      <alignment vertical="center"/>
    </xf>
    <xf numFmtId="0" fontId="0" fillId="22" borderId="0" xfId="0" applyFill="1" applyAlignment="1">
      <alignment horizontal="left" vertical="center" indent="1"/>
    </xf>
    <xf numFmtId="0" fontId="0" fillId="23" borderId="0" xfId="0" applyFill="1"/>
    <xf numFmtId="0" fontId="0" fillId="9" borderId="1" xfId="0" applyFill="1" applyBorder="1"/>
    <xf numFmtId="0" fontId="0" fillId="22" borderId="0" xfId="0" applyFill="1"/>
    <xf numFmtId="0" fontId="2" fillId="22" borderId="0" xfId="0" applyFont="1" applyFill="1" applyAlignment="1">
      <alignment horizontal="left" vertical="center" indent="1"/>
    </xf>
    <xf numFmtId="0" fontId="7" fillId="19" borderId="0" xfId="0" applyFont="1" applyFill="1" applyAlignment="1">
      <alignment vertical="center"/>
    </xf>
    <xf numFmtId="0" fontId="0" fillId="21" borderId="0" xfId="0" applyFill="1"/>
    <xf numFmtId="0" fontId="0" fillId="10" borderId="1" xfId="0" applyFill="1" applyBorder="1"/>
    <xf numFmtId="0" fontId="0" fillId="10" borderId="0" xfId="0" applyFill="1" applyBorder="1"/>
    <xf numFmtId="0" fontId="0" fillId="17" borderId="0" xfId="0" applyFill="1" applyAlignment="1">
      <alignment horizontal="left" vertical="center" indent="1"/>
    </xf>
    <xf numFmtId="0" fontId="2" fillId="17" borderId="0" xfId="0" applyFont="1" applyFill="1" applyAlignment="1">
      <alignment horizontal="left" vertical="center" indent="1"/>
    </xf>
    <xf numFmtId="0" fontId="0" fillId="24" borderId="0" xfId="0" applyFill="1"/>
    <xf numFmtId="0" fontId="2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FEA7-9F70-4635-9E22-6BF4C3E78DB1}">
  <dimension ref="A1:A15"/>
  <sheetViews>
    <sheetView tabSelected="1" workbookViewId="0">
      <selection activeCell="A15" sqref="A15"/>
    </sheetView>
  </sheetViews>
  <sheetFormatPr defaultRowHeight="15" x14ac:dyDescent="0.25"/>
  <cols>
    <col min="1" max="1" width="151.5703125" customWidth="1"/>
  </cols>
  <sheetData>
    <row r="1" spans="1:1" ht="21" x14ac:dyDescent="0.35">
      <c r="A1" s="1" t="s">
        <v>1</v>
      </c>
    </row>
    <row r="2" spans="1:1" ht="19.5" customHeight="1" x14ac:dyDescent="0.25">
      <c r="A2" s="2" t="s">
        <v>2</v>
      </c>
    </row>
    <row r="3" spans="1:1" ht="20.25" customHeight="1" x14ac:dyDescent="0.25">
      <c r="A3" s="3" t="s">
        <v>0</v>
      </c>
    </row>
    <row r="4" spans="1:1" x14ac:dyDescent="0.25">
      <c r="A4" s="4" t="s">
        <v>3</v>
      </c>
    </row>
    <row r="5" spans="1:1" x14ac:dyDescent="0.25">
      <c r="A5" s="4" t="s">
        <v>5</v>
      </c>
    </row>
    <row r="6" spans="1:1" x14ac:dyDescent="0.25">
      <c r="A6" s="4" t="s">
        <v>6</v>
      </c>
    </row>
    <row r="7" spans="1:1" x14ac:dyDescent="0.25">
      <c r="A7" s="4" t="s">
        <v>9</v>
      </c>
    </row>
    <row r="8" spans="1:1" x14ac:dyDescent="0.25">
      <c r="A8" s="4" t="s">
        <v>8</v>
      </c>
    </row>
    <row r="9" spans="1:1" x14ac:dyDescent="0.25">
      <c r="A9" s="4" t="s">
        <v>10</v>
      </c>
    </row>
    <row r="11" spans="1:1" ht="18.75" x14ac:dyDescent="0.3">
      <c r="A11" s="5" t="s">
        <v>11</v>
      </c>
    </row>
    <row r="12" spans="1:1" ht="18" x14ac:dyDescent="0.25">
      <c r="A12" s="7" t="s">
        <v>12</v>
      </c>
    </row>
    <row r="13" spans="1:1" x14ac:dyDescent="0.25">
      <c r="A13" s="8"/>
    </row>
    <row r="14" spans="1:1" x14ac:dyDescent="0.25">
      <c r="A14" s="8" t="s">
        <v>13</v>
      </c>
    </row>
    <row r="15" spans="1:1" x14ac:dyDescent="0.25">
      <c r="A15" s="4" t="str">
        <f>IF(B2&gt;=40, "Pass", "Fail")</f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8428-00B4-4FD2-90DC-CD873EE0E203}">
  <dimension ref="A1:C14"/>
  <sheetViews>
    <sheetView workbookViewId="0">
      <selection activeCell="A13" sqref="A13"/>
    </sheetView>
  </sheetViews>
  <sheetFormatPr defaultRowHeight="15" x14ac:dyDescent="0.25"/>
  <cols>
    <col min="1" max="1" width="92.42578125" customWidth="1"/>
    <col min="3" max="3" width="12.5703125" customWidth="1"/>
  </cols>
  <sheetData>
    <row r="1" spans="1:3" ht="37.5" x14ac:dyDescent="0.3">
      <c r="A1" s="9" t="s">
        <v>14</v>
      </c>
    </row>
    <row r="3" spans="1:3" x14ac:dyDescent="0.25">
      <c r="A3" s="10" t="s">
        <v>11</v>
      </c>
    </row>
    <row r="4" spans="1:3" ht="15.75" x14ac:dyDescent="0.25">
      <c r="A4" s="13" t="s">
        <v>15</v>
      </c>
      <c r="B4" s="14" t="s">
        <v>21</v>
      </c>
      <c r="C4" s="14" t="s">
        <v>22</v>
      </c>
    </row>
    <row r="5" spans="1:3" x14ac:dyDescent="0.25">
      <c r="A5" s="15" t="s">
        <v>18</v>
      </c>
      <c r="B5" s="14">
        <v>55000</v>
      </c>
      <c r="C5" s="14">
        <v>95</v>
      </c>
    </row>
    <row r="6" spans="1:3" x14ac:dyDescent="0.25">
      <c r="A6" s="15" t="s">
        <v>19</v>
      </c>
      <c r="B6" s="14">
        <v>65000</v>
      </c>
      <c r="C6" s="14">
        <v>85</v>
      </c>
    </row>
    <row r="7" spans="1:3" x14ac:dyDescent="0.25">
      <c r="A7" s="15" t="s">
        <v>16</v>
      </c>
      <c r="B7" s="14">
        <v>30000</v>
      </c>
      <c r="C7" s="14">
        <v>90</v>
      </c>
    </row>
    <row r="8" spans="1:3" x14ac:dyDescent="0.25">
      <c r="A8" s="15" t="s">
        <v>17</v>
      </c>
      <c r="B8" s="14">
        <v>25000</v>
      </c>
      <c r="C8" s="14">
        <v>65</v>
      </c>
    </row>
    <row r="9" spans="1:3" x14ac:dyDescent="0.25">
      <c r="A9" s="11" t="s">
        <v>11</v>
      </c>
    </row>
    <row r="10" spans="1:3" x14ac:dyDescent="0.25">
      <c r="A10" s="16" t="s">
        <v>23</v>
      </c>
    </row>
    <row r="11" spans="1:3" x14ac:dyDescent="0.25">
      <c r="A11" s="17" t="str">
        <f>IF(AND($B5&gt;= 40000,$C5&gt;= 90), "Yes", "No")</f>
        <v>Yes</v>
      </c>
    </row>
    <row r="12" spans="1:3" x14ac:dyDescent="0.25">
      <c r="A12" s="17" t="str">
        <f t="shared" ref="A12:A14" si="0">IF(AND($B6&gt;= 40000,$C6&gt;= 90), "Yes", "No")</f>
        <v>No</v>
      </c>
    </row>
    <row r="13" spans="1:3" x14ac:dyDescent="0.25">
      <c r="A13" s="17" t="str">
        <f t="shared" si="0"/>
        <v>No</v>
      </c>
    </row>
    <row r="14" spans="1:3" x14ac:dyDescent="0.25">
      <c r="A14" s="17" t="str">
        <f t="shared" si="0"/>
        <v>No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F5AE-CD13-4FA0-A131-036CAD267569}">
  <dimension ref="A1:B16"/>
  <sheetViews>
    <sheetView workbookViewId="0">
      <selection activeCell="A13" sqref="A13"/>
    </sheetView>
  </sheetViews>
  <sheetFormatPr defaultRowHeight="15" x14ac:dyDescent="0.25"/>
  <cols>
    <col min="1" max="1" width="53.140625" customWidth="1"/>
  </cols>
  <sheetData>
    <row r="1" spans="1:2" x14ac:dyDescent="0.25">
      <c r="A1" s="21" t="s">
        <v>24</v>
      </c>
    </row>
    <row r="2" spans="1:2" ht="30" x14ac:dyDescent="0.25">
      <c r="A2" s="22" t="s">
        <v>25</v>
      </c>
    </row>
    <row r="3" spans="1:2" x14ac:dyDescent="0.25">
      <c r="A3" s="18" t="s">
        <v>26</v>
      </c>
      <c r="B3" s="18" t="s">
        <v>31</v>
      </c>
    </row>
    <row r="4" spans="1:2" ht="27" customHeight="1" x14ac:dyDescent="0.25">
      <c r="A4" s="19" t="s">
        <v>33</v>
      </c>
      <c r="B4" s="18">
        <v>85</v>
      </c>
    </row>
    <row r="5" spans="1:2" x14ac:dyDescent="0.25">
      <c r="A5" s="18" t="s">
        <v>27</v>
      </c>
      <c r="B5" s="18">
        <v>96</v>
      </c>
    </row>
    <row r="6" spans="1:2" x14ac:dyDescent="0.25">
      <c r="A6" s="19" t="s">
        <v>28</v>
      </c>
      <c r="B6" s="18">
        <v>57</v>
      </c>
    </row>
    <row r="7" spans="1:2" x14ac:dyDescent="0.25">
      <c r="A7" s="18" t="s">
        <v>29</v>
      </c>
      <c r="B7" s="18">
        <v>92</v>
      </c>
    </row>
    <row r="8" spans="1:2" x14ac:dyDescent="0.25">
      <c r="A8" s="19" t="s">
        <v>30</v>
      </c>
      <c r="B8" s="18">
        <v>75</v>
      </c>
    </row>
    <row r="9" spans="1:2" x14ac:dyDescent="0.25">
      <c r="A9" s="20" t="s">
        <v>32</v>
      </c>
    </row>
    <row r="10" spans="1:2" x14ac:dyDescent="0.25">
      <c r="A10" s="23" t="s">
        <v>34</v>
      </c>
    </row>
    <row r="11" spans="1:2" x14ac:dyDescent="0.25">
      <c r="A11" s="17" t="str">
        <f>IF($B4&gt;=90,"A",IF($B4&gt;=75,"B",IF($B4&gt;=50,"C","Fail")))</f>
        <v>B</v>
      </c>
    </row>
    <row r="12" spans="1:2" x14ac:dyDescent="0.25">
      <c r="A12" s="17" t="str">
        <f t="shared" ref="A12:A15" si="0">IF($B5&gt;=90,"A",IF($B5&gt;=75,"B",IF($B5&gt;=50,"C","Fail")))</f>
        <v>A</v>
      </c>
    </row>
    <row r="13" spans="1:2" x14ac:dyDescent="0.25">
      <c r="A13" s="17" t="str">
        <f t="shared" si="0"/>
        <v>C</v>
      </c>
    </row>
    <row r="14" spans="1:2" x14ac:dyDescent="0.25">
      <c r="A14" s="17" t="str">
        <f t="shared" si="0"/>
        <v>A</v>
      </c>
    </row>
    <row r="15" spans="1:2" x14ac:dyDescent="0.25">
      <c r="A15" s="17" t="str">
        <f t="shared" si="0"/>
        <v>B</v>
      </c>
    </row>
    <row r="16" spans="1:2" x14ac:dyDescent="0.25">
      <c r="A1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C8D9-62CE-4358-A3ED-E755B496113A}">
  <dimension ref="A1:H25"/>
  <sheetViews>
    <sheetView workbookViewId="0">
      <selection activeCell="A14" sqref="A14"/>
    </sheetView>
  </sheetViews>
  <sheetFormatPr defaultRowHeight="15" x14ac:dyDescent="0.25"/>
  <cols>
    <col min="1" max="1" width="47" customWidth="1"/>
    <col min="2" max="2" width="10.85546875" customWidth="1"/>
    <col min="3" max="3" width="11.5703125" customWidth="1"/>
  </cols>
  <sheetData>
    <row r="1" spans="1:3" ht="45" x14ac:dyDescent="0.25">
      <c r="A1" s="24" t="s">
        <v>35</v>
      </c>
    </row>
    <row r="2" spans="1:3" x14ac:dyDescent="0.25">
      <c r="A2" s="26" t="s">
        <v>36</v>
      </c>
      <c r="B2" s="26" t="s">
        <v>37</v>
      </c>
      <c r="C2" s="26" t="s">
        <v>38</v>
      </c>
    </row>
    <row r="3" spans="1:3" x14ac:dyDescent="0.25">
      <c r="A3" s="26" t="s">
        <v>39</v>
      </c>
      <c r="B3" s="26" t="s">
        <v>7</v>
      </c>
      <c r="C3" s="26" t="s">
        <v>40</v>
      </c>
    </row>
    <row r="4" spans="1:3" x14ac:dyDescent="0.25">
      <c r="A4" s="26" t="s">
        <v>41</v>
      </c>
      <c r="B4" s="26" t="s">
        <v>4</v>
      </c>
      <c r="C4" s="26" t="s">
        <v>42</v>
      </c>
    </row>
    <row r="5" spans="1:3" x14ac:dyDescent="0.25">
      <c r="A5" s="26" t="s">
        <v>43</v>
      </c>
      <c r="B5" s="26" t="s">
        <v>44</v>
      </c>
      <c r="C5" s="26" t="s">
        <v>45</v>
      </c>
    </row>
    <row r="6" spans="1:3" x14ac:dyDescent="0.25">
      <c r="A6" s="26" t="s">
        <v>46</v>
      </c>
      <c r="B6" s="26" t="s">
        <v>47</v>
      </c>
      <c r="C6" s="26" t="s">
        <v>20</v>
      </c>
    </row>
    <row r="7" spans="1:3" x14ac:dyDescent="0.25">
      <c r="A7" s="25" t="s">
        <v>32</v>
      </c>
    </row>
    <row r="8" spans="1:3" ht="18" x14ac:dyDescent="0.25">
      <c r="A8" s="27" t="s">
        <v>48</v>
      </c>
    </row>
    <row r="9" spans="1:3" x14ac:dyDescent="0.25">
      <c r="A9" s="28"/>
    </row>
    <row r="10" spans="1:3" x14ac:dyDescent="0.25">
      <c r="A10" s="28" t="s">
        <v>49</v>
      </c>
    </row>
    <row r="11" spans="1:3" ht="18" x14ac:dyDescent="0.25">
      <c r="A11" s="30" t="s">
        <v>50</v>
      </c>
    </row>
    <row r="12" spans="1:3" x14ac:dyDescent="0.25">
      <c r="A12" s="31"/>
    </row>
    <row r="13" spans="1:3" x14ac:dyDescent="0.25">
      <c r="A13" s="32" t="s">
        <v>51</v>
      </c>
    </row>
    <row r="14" spans="1:3" x14ac:dyDescent="0.25">
      <c r="A14" s="33" t="str">
        <f>VLOOKUP(A5,A3:C6,3,FALSE)</f>
        <v>Finance</v>
      </c>
    </row>
    <row r="16" spans="1:3" x14ac:dyDescent="0.25">
      <c r="A16" s="35"/>
    </row>
    <row r="17" spans="1:8" ht="18" x14ac:dyDescent="0.25">
      <c r="A17" s="34" t="s">
        <v>52</v>
      </c>
      <c r="H17" t="e">
        <f>VLOOKUP("E103", A2:C5, 3, FALSE)</f>
        <v>#N/A</v>
      </c>
    </row>
    <row r="18" spans="1:8" x14ac:dyDescent="0.25">
      <c r="A18" s="36" t="s">
        <v>53</v>
      </c>
    </row>
    <row r="19" spans="1:8" ht="15.75" x14ac:dyDescent="0.25">
      <c r="A19" s="37" t="s">
        <v>54</v>
      </c>
    </row>
    <row r="20" spans="1:8" x14ac:dyDescent="0.25">
      <c r="A20" s="38"/>
    </row>
    <row r="21" spans="1:8" x14ac:dyDescent="0.25">
      <c r="A21" s="38" t="s">
        <v>55</v>
      </c>
    </row>
    <row r="22" spans="1:8" x14ac:dyDescent="0.25">
      <c r="A22" s="38"/>
    </row>
    <row r="23" spans="1:8" ht="30" x14ac:dyDescent="0.25">
      <c r="A23" s="38" t="s">
        <v>56</v>
      </c>
    </row>
    <row r="24" spans="1:8" x14ac:dyDescent="0.25">
      <c r="A24" s="38"/>
    </row>
    <row r="25" spans="1:8" ht="30" x14ac:dyDescent="0.25">
      <c r="A25" s="38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D563-973B-4DF6-8DA7-228F7D1717A6}">
  <dimension ref="A1:C27"/>
  <sheetViews>
    <sheetView zoomScale="92" workbookViewId="0">
      <selection activeCell="A14" sqref="A14"/>
    </sheetView>
  </sheetViews>
  <sheetFormatPr defaultRowHeight="15" x14ac:dyDescent="0.25"/>
  <cols>
    <col min="1" max="1" width="54.7109375" customWidth="1"/>
    <col min="2" max="2" width="17" customWidth="1"/>
    <col min="3" max="3" width="10.28515625" bestFit="1" customWidth="1"/>
  </cols>
  <sheetData>
    <row r="1" spans="1:3" ht="30" x14ac:dyDescent="0.25">
      <c r="A1" s="39" t="s">
        <v>58</v>
      </c>
    </row>
    <row r="2" spans="1:3" x14ac:dyDescent="0.25">
      <c r="A2" s="40" t="s">
        <v>59</v>
      </c>
      <c r="B2" s="40" t="s">
        <v>60</v>
      </c>
    </row>
    <row r="3" spans="1:3" x14ac:dyDescent="0.25">
      <c r="A3" s="40">
        <v>0</v>
      </c>
      <c r="B3" s="41">
        <v>0.05</v>
      </c>
    </row>
    <row r="4" spans="1:3" x14ac:dyDescent="0.25">
      <c r="A4" s="40">
        <v>20000</v>
      </c>
      <c r="B4" s="41">
        <v>0.1</v>
      </c>
    </row>
    <row r="5" spans="1:3" x14ac:dyDescent="0.25">
      <c r="A5" s="40">
        <v>50000</v>
      </c>
      <c r="B5" s="41">
        <v>0.15</v>
      </c>
    </row>
    <row r="6" spans="1:3" x14ac:dyDescent="0.25">
      <c r="A6" s="40">
        <v>80000</v>
      </c>
      <c r="B6" s="41">
        <v>0.2</v>
      </c>
    </row>
    <row r="7" spans="1:3" ht="45" x14ac:dyDescent="0.25">
      <c r="A7" s="24" t="s">
        <v>63</v>
      </c>
    </row>
    <row r="9" spans="1:3" x14ac:dyDescent="0.25">
      <c r="A9" s="28" t="s">
        <v>32</v>
      </c>
    </row>
    <row r="10" spans="1:3" ht="18" x14ac:dyDescent="0.25">
      <c r="A10" s="42" t="s">
        <v>61</v>
      </c>
    </row>
    <row r="12" spans="1:3" ht="30" x14ac:dyDescent="0.25">
      <c r="A12" s="43" t="s">
        <v>62</v>
      </c>
    </row>
    <row r="13" spans="1:3" x14ac:dyDescent="0.25">
      <c r="C13" s="49"/>
    </row>
    <row r="14" spans="1:3" x14ac:dyDescent="0.25">
      <c r="A14" s="44">
        <f>VLOOKUP(E2, A2:B5, 2,TRUE )</f>
        <v>0.05</v>
      </c>
    </row>
    <row r="16" spans="1:3" ht="18" x14ac:dyDescent="0.25">
      <c r="A16" s="45" t="s">
        <v>64</v>
      </c>
    </row>
    <row r="17" spans="1:1" x14ac:dyDescent="0.25">
      <c r="A17" s="46"/>
    </row>
    <row r="18" spans="1:1" x14ac:dyDescent="0.25">
      <c r="A18" s="46" t="s">
        <v>65</v>
      </c>
    </row>
    <row r="19" spans="1:1" x14ac:dyDescent="0.25">
      <c r="A19" s="46"/>
    </row>
    <row r="20" spans="1:1" x14ac:dyDescent="0.25">
      <c r="A20" s="46" t="s">
        <v>66</v>
      </c>
    </row>
    <row r="21" spans="1:1" x14ac:dyDescent="0.25">
      <c r="A21" s="46"/>
    </row>
    <row r="22" spans="1:1" x14ac:dyDescent="0.25">
      <c r="A22" s="46" t="s">
        <v>67</v>
      </c>
    </row>
    <row r="25" spans="1:1" ht="18" x14ac:dyDescent="0.25">
      <c r="A25" s="47" t="s">
        <v>68</v>
      </c>
    </row>
    <row r="26" spans="1:1" x14ac:dyDescent="0.25">
      <c r="A26" s="2"/>
    </row>
    <row r="27" spans="1:1" x14ac:dyDescent="0.25">
      <c r="A27" s="48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A980-8076-4250-90E9-E902B0AB781E}">
  <dimension ref="A1:C31"/>
  <sheetViews>
    <sheetView topLeftCell="A6" workbookViewId="0">
      <selection activeCell="A21" sqref="A21"/>
    </sheetView>
  </sheetViews>
  <sheetFormatPr defaultRowHeight="15" x14ac:dyDescent="0.25"/>
  <cols>
    <col min="1" max="1" width="73" customWidth="1"/>
    <col min="2" max="2" width="13.28515625" customWidth="1"/>
    <col min="3" max="3" width="15.28515625" customWidth="1"/>
  </cols>
  <sheetData>
    <row r="1" spans="1:3" ht="30" x14ac:dyDescent="0.25">
      <c r="A1" s="43" t="s">
        <v>70</v>
      </c>
    </row>
    <row r="2" spans="1:3" x14ac:dyDescent="0.25">
      <c r="A2" s="50" t="s">
        <v>71</v>
      </c>
      <c r="B2" s="50" t="s">
        <v>75</v>
      </c>
      <c r="C2" s="50" t="s">
        <v>76</v>
      </c>
    </row>
    <row r="3" spans="1:3" x14ac:dyDescent="0.25">
      <c r="A3" s="50" t="s">
        <v>72</v>
      </c>
      <c r="B3" s="50">
        <v>10</v>
      </c>
      <c r="C3" s="50">
        <v>12</v>
      </c>
    </row>
    <row r="4" spans="1:3" x14ac:dyDescent="0.25">
      <c r="A4" s="50" t="s">
        <v>73</v>
      </c>
      <c r="B4" s="50">
        <v>10</v>
      </c>
      <c r="C4" s="50">
        <v>15</v>
      </c>
    </row>
    <row r="5" spans="1:3" x14ac:dyDescent="0.25">
      <c r="A5" s="50" t="s">
        <v>74</v>
      </c>
      <c r="B5" s="50">
        <v>8</v>
      </c>
      <c r="C5" s="50">
        <v>12</v>
      </c>
    </row>
    <row r="6" spans="1:3" ht="30" x14ac:dyDescent="0.25">
      <c r="A6" s="51" t="s">
        <v>77</v>
      </c>
    </row>
    <row r="7" spans="1:3" x14ac:dyDescent="0.25">
      <c r="A7" s="52" t="s">
        <v>78</v>
      </c>
    </row>
    <row r="9" spans="1:3" x14ac:dyDescent="0.25">
      <c r="A9" s="44" t="s">
        <v>32</v>
      </c>
    </row>
    <row r="10" spans="1:3" ht="18" x14ac:dyDescent="0.25">
      <c r="A10" s="53" t="s">
        <v>79</v>
      </c>
    </row>
    <row r="11" spans="1:3" x14ac:dyDescent="0.25">
      <c r="A11" s="54"/>
    </row>
    <row r="12" spans="1:3" x14ac:dyDescent="0.25">
      <c r="A12" s="54" t="s">
        <v>80</v>
      </c>
    </row>
    <row r="13" spans="1:3" x14ac:dyDescent="0.25">
      <c r="A13" s="55"/>
    </row>
    <row r="14" spans="1:3" x14ac:dyDescent="0.25">
      <c r="A14" s="56" t="s">
        <v>81</v>
      </c>
    </row>
    <row r="15" spans="1:3" x14ac:dyDescent="0.25">
      <c r="A15" s="55"/>
    </row>
    <row r="16" spans="1:3" x14ac:dyDescent="0.25">
      <c r="A16" s="56" t="s">
        <v>82</v>
      </c>
    </row>
    <row r="17" spans="1:1" x14ac:dyDescent="0.25">
      <c r="A17" s="55"/>
    </row>
    <row r="18" spans="1:1" x14ac:dyDescent="0.25">
      <c r="A18" s="55" t="s">
        <v>83</v>
      </c>
    </row>
    <row r="20" spans="1:1" x14ac:dyDescent="0.25">
      <c r="A20" s="57" t="str">
        <f>IF($B$3&gt;C3,"Exceeded","OK")</f>
        <v>OK</v>
      </c>
    </row>
    <row r="21" spans="1:1" x14ac:dyDescent="0.25">
      <c r="A21" s="57" t="str">
        <f t="shared" ref="A21:A23" si="0">IF($B$3&gt;C4,"Exceeded","OK")</f>
        <v>OK</v>
      </c>
    </row>
    <row r="22" spans="1:1" x14ac:dyDescent="0.25">
      <c r="A22" s="57" t="str">
        <f t="shared" si="0"/>
        <v>OK</v>
      </c>
    </row>
    <row r="23" spans="1:1" x14ac:dyDescent="0.25">
      <c r="A23" s="57"/>
    </row>
    <row r="25" spans="1:1" ht="18" x14ac:dyDescent="0.25">
      <c r="A25" s="58" t="s">
        <v>84</v>
      </c>
    </row>
    <row r="26" spans="1:1" x14ac:dyDescent="0.25">
      <c r="A26" s="59"/>
    </row>
    <row r="27" spans="1:1" x14ac:dyDescent="0.25">
      <c r="A27" s="59" t="s">
        <v>85</v>
      </c>
    </row>
    <row r="28" spans="1:1" x14ac:dyDescent="0.25">
      <c r="A28" s="59"/>
    </row>
    <row r="29" spans="1:1" x14ac:dyDescent="0.25">
      <c r="A29" s="59" t="s">
        <v>86</v>
      </c>
    </row>
    <row r="30" spans="1:1" x14ac:dyDescent="0.25">
      <c r="A30" s="59"/>
    </row>
    <row r="31" spans="1:1" x14ac:dyDescent="0.25">
      <c r="A31" s="59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A537-DE9E-4252-9C69-85D878A380E5}">
  <dimension ref="A1:B23"/>
  <sheetViews>
    <sheetView topLeftCell="A6" workbookViewId="0">
      <selection activeCell="A19" sqref="A19"/>
    </sheetView>
  </sheetViews>
  <sheetFormatPr defaultRowHeight="15" x14ac:dyDescent="0.25"/>
  <cols>
    <col min="1" max="1" width="57" customWidth="1"/>
  </cols>
  <sheetData>
    <row r="1" spans="1:2" x14ac:dyDescent="0.25">
      <c r="A1" s="60" t="s">
        <v>88</v>
      </c>
    </row>
    <row r="2" spans="1:2" x14ac:dyDescent="0.25">
      <c r="A2" s="61" t="s">
        <v>89</v>
      </c>
      <c r="B2" s="61" t="s">
        <v>94</v>
      </c>
    </row>
    <row r="3" spans="1:2" x14ac:dyDescent="0.25">
      <c r="A3" s="61" t="s">
        <v>90</v>
      </c>
      <c r="B3" s="61">
        <v>55000</v>
      </c>
    </row>
    <row r="4" spans="1:2" x14ac:dyDescent="0.25">
      <c r="A4" s="61" t="s">
        <v>91</v>
      </c>
      <c r="B4" s="61">
        <v>72000</v>
      </c>
    </row>
    <row r="5" spans="1:2" x14ac:dyDescent="0.25">
      <c r="A5" s="61" t="s">
        <v>92</v>
      </c>
      <c r="B5" s="61">
        <v>62000</v>
      </c>
    </row>
    <row r="6" spans="1:2" x14ac:dyDescent="0.25">
      <c r="A6" s="61" t="s">
        <v>93</v>
      </c>
      <c r="B6" s="61">
        <v>41000</v>
      </c>
    </row>
    <row r="8" spans="1:2" x14ac:dyDescent="0.25">
      <c r="A8" s="2" t="s">
        <v>32</v>
      </c>
    </row>
    <row r="9" spans="1:2" ht="18" x14ac:dyDescent="0.25">
      <c r="A9" s="64" t="s">
        <v>95</v>
      </c>
    </row>
    <row r="11" spans="1:2" x14ac:dyDescent="0.25">
      <c r="A11" s="62" t="s">
        <v>80</v>
      </c>
    </row>
    <row r="12" spans="1:2" x14ac:dyDescent="0.25">
      <c r="A12" s="59"/>
    </row>
    <row r="13" spans="1:2" x14ac:dyDescent="0.25">
      <c r="A13" s="63" t="s">
        <v>97</v>
      </c>
    </row>
    <row r="14" spans="1:2" x14ac:dyDescent="0.25">
      <c r="A14" s="59"/>
    </row>
    <row r="15" spans="1:2" x14ac:dyDescent="0.25">
      <c r="A15" s="63" t="s">
        <v>98</v>
      </c>
    </row>
    <row r="16" spans="1:2" x14ac:dyDescent="0.25">
      <c r="A16" s="59"/>
    </row>
    <row r="17" spans="1:1" x14ac:dyDescent="0.25">
      <c r="A17" s="59" t="s">
        <v>96</v>
      </c>
    </row>
    <row r="19" spans="1:1" x14ac:dyDescent="0.25">
      <c r="A19" s="65">
        <f>INDEX(B3:B6,MATCH(A4,A3:A6,0))</f>
        <v>72000</v>
      </c>
    </row>
    <row r="21" spans="1:1" ht="18" x14ac:dyDescent="0.25">
      <c r="A21" s="6" t="s">
        <v>68</v>
      </c>
    </row>
    <row r="23" spans="1:1" x14ac:dyDescent="0.25">
      <c r="A23" s="29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A4CF-7A27-4FAF-8572-F49EE48D88AA}">
  <dimension ref="A1:B23"/>
  <sheetViews>
    <sheetView workbookViewId="0">
      <selection activeCell="A23" sqref="A23"/>
    </sheetView>
  </sheetViews>
  <sheetFormatPr defaultRowHeight="15" x14ac:dyDescent="0.25"/>
  <cols>
    <col min="1" max="1" width="66.5703125" customWidth="1"/>
  </cols>
  <sheetData>
    <row r="1" spans="1:2" ht="30" x14ac:dyDescent="0.25">
      <c r="A1" s="24" t="s">
        <v>100</v>
      </c>
    </row>
    <row r="2" spans="1:2" x14ac:dyDescent="0.25">
      <c r="A2" s="66" t="s">
        <v>101</v>
      </c>
      <c r="B2" s="66" t="s">
        <v>94</v>
      </c>
    </row>
    <row r="3" spans="1:2" x14ac:dyDescent="0.25">
      <c r="A3" s="66" t="s">
        <v>102</v>
      </c>
      <c r="B3" s="66" t="s">
        <v>42</v>
      </c>
    </row>
    <row r="4" spans="1:2" x14ac:dyDescent="0.25">
      <c r="A4" s="66" t="s">
        <v>103</v>
      </c>
      <c r="B4" s="66" t="s">
        <v>40</v>
      </c>
    </row>
    <row r="5" spans="1:2" x14ac:dyDescent="0.25">
      <c r="A5" s="66" t="s">
        <v>104</v>
      </c>
      <c r="B5" s="66" t="s">
        <v>20</v>
      </c>
    </row>
    <row r="6" spans="1:2" x14ac:dyDescent="0.25">
      <c r="A6" s="66" t="s">
        <v>105</v>
      </c>
      <c r="B6" s="66" t="s">
        <v>45</v>
      </c>
    </row>
    <row r="8" spans="1:2" x14ac:dyDescent="0.25">
      <c r="A8" s="67" t="s">
        <v>32</v>
      </c>
    </row>
    <row r="9" spans="1:2" ht="18" x14ac:dyDescent="0.25">
      <c r="A9" s="27" t="s">
        <v>106</v>
      </c>
    </row>
    <row r="10" spans="1:2" x14ac:dyDescent="0.25">
      <c r="A10" s="28"/>
    </row>
    <row r="11" spans="1:2" x14ac:dyDescent="0.25">
      <c r="A11" s="28" t="s">
        <v>80</v>
      </c>
    </row>
    <row r="12" spans="1:2" x14ac:dyDescent="0.25">
      <c r="A12" s="68"/>
    </row>
    <row r="13" spans="1:2" x14ac:dyDescent="0.25">
      <c r="A13" s="69" t="s">
        <v>97</v>
      </c>
    </row>
    <row r="14" spans="1:2" x14ac:dyDescent="0.25">
      <c r="A14" s="68"/>
    </row>
    <row r="15" spans="1:2" x14ac:dyDescent="0.25">
      <c r="A15" s="69" t="s">
        <v>107</v>
      </c>
    </row>
    <row r="17" spans="1:1" x14ac:dyDescent="0.25">
      <c r="A17" s="70" t="e">
        <f ca="1">XLOOKUP("A4", A3:A6, B3:B6)</f>
        <v>#NAME?</v>
      </c>
    </row>
    <row r="19" spans="1:1" ht="18" x14ac:dyDescent="0.25">
      <c r="A19" s="45" t="s">
        <v>68</v>
      </c>
    </row>
    <row r="20" spans="1:1" x14ac:dyDescent="0.25">
      <c r="A20" s="33"/>
    </row>
    <row r="21" spans="1:1" x14ac:dyDescent="0.25">
      <c r="A21" s="71" t="s">
        <v>108</v>
      </c>
    </row>
    <row r="23" spans="1:1" x14ac:dyDescent="0.25">
      <c r="A23" s="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2025-12-22T03:09:58Z</dcterms:created>
  <dcterms:modified xsi:type="dcterms:W3CDTF">2025-12-22T08:01:58Z</dcterms:modified>
</cp:coreProperties>
</file>