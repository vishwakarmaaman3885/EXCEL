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.1" sheetId="1" r:id="rId4"/>
    <sheet state="visible" name="Q.2" sheetId="2" r:id="rId5"/>
    <sheet state="visible" name="Q.3" sheetId="3" r:id="rId6"/>
    <sheet state="visible" name="Q.4" sheetId="4" r:id="rId7"/>
    <sheet state="visible" name="Q.5" sheetId="5" r:id="rId8"/>
    <sheet state="visible" name="Q.6" sheetId="6" r:id="rId9"/>
    <sheet state="visible" name="Q.7" sheetId="7" r:id="rId10"/>
    <sheet state="visible" name="Q.8" sheetId="8" r:id="rId11"/>
  </sheets>
  <definedNames/>
  <calcPr/>
</workbook>
</file>

<file path=xl/sharedStrings.xml><?xml version="1.0" encoding="utf-8"?>
<sst xmlns="http://schemas.openxmlformats.org/spreadsheetml/2006/main" count="1168" uniqueCount="153">
  <si>
    <t xml:space="preserve">                                                     ASSIGNMENT:BASIC OF EXCEL</t>
  </si>
  <si>
    <t xml:space="preserve">                                                                 QUESTIONS:</t>
  </si>
  <si>
    <t>Q.1 Explain the difference between Relative , Absolute and Mixed Cell Referencing.</t>
  </si>
  <si>
    <t xml:space="preserve">sol:                                                                                                                                                                         </t>
  </si>
  <si>
    <t>1. Relative Cell Reference</t>
  </si>
  <si>
    <t>● In relative referencing, the cell reference in a formula changes automatically when the formula is copied or moved to another cell.</t>
  </si>
  <si>
    <t>● It adjusts according to the relative position of rows and columns.</t>
  </si>
  <si>
    <t>Example:</t>
  </si>
  <si>
    <t>If cell C1 contains the formula =A1 + B1, and it is copied to C2, the formula automatically changes to =A2 + B2.</t>
  </si>
  <si>
    <t>Use:</t>
  </si>
  <si>
    <t>Used when you want the formula to adjust automatically for each row or column, such as when calculating totals for multiple rows of data.</t>
  </si>
  <si>
    <t>2. Absolute Cell Reference</t>
  </si>
  <si>
    <t>● In absolute referencing, the cell reference does not change when copied or moved.</t>
  </si>
  <si>
    <t>● It remains fixed to a specific cell, regardless of where the formula is placed.</t>
  </si>
  <si>
    <t>● An absolute reference is indicated by adding dollar signs ($) before the column letter and row number.</t>
  </si>
  <si>
    <t>Example: =$A$1 + B1 — if copied to another cell, it remains =$A$1 + B1.</t>
  </si>
  <si>
    <t>Used when a formula must always refer to a constant value, such as a fixed tax rate, discount rate, or conversion factor stored in one specific cell.</t>
  </si>
  <si>
    <t>3. Mixed Cell Reference</t>
  </si>
  <si>
    <t>● In mixed referencing, either the row or the column is fixed, but not both.</t>
  </si>
  <si>
    <t>● It combines features of relative and absolute referencing.</t>
  </si>
  <si>
    <t>Types of Mixed References:</t>
  </si>
  <si>
    <t>● $A1 → Column A is fixed, row changes when copied.</t>
  </si>
  <si>
    <t>● A$1 → Row 1 is fixed, column changes when copied.</t>
  </si>
  <si>
    <t>If =$A1 is copied across columns, the column remains A, but the row changes according to the new position.</t>
  </si>
  <si>
    <t>Used when copying formulas across rows or columns where only one part of the reference (row or column) should remain constant.</t>
  </si>
  <si>
    <t>Q.2 Write a formula to calculate the total Price of Car and Bicycle only.</t>
  </si>
  <si>
    <t>VEHICLE</t>
  </si>
  <si>
    <t xml:space="preserve">              PRICE</t>
  </si>
  <si>
    <t>Car</t>
  </si>
  <si>
    <t>Bicycle</t>
  </si>
  <si>
    <t>Auto-Rickshaw</t>
  </si>
  <si>
    <t>Sol:</t>
  </si>
  <si>
    <t>Total price of car and bicycle is:</t>
  </si>
  <si>
    <t>FORMULA:  = SUM(G6,G7)</t>
  </si>
  <si>
    <t>Q.3 Using the data below, write a formula to calculate the average sales of items priced</t>
  </si>
  <si>
    <t>above 100 but less than 300.</t>
  </si>
  <si>
    <t>ITEM</t>
  </si>
  <si>
    <t>PRICE</t>
  </si>
  <si>
    <t>SALES</t>
  </si>
  <si>
    <t>Item1</t>
  </si>
  <si>
    <t>Item2</t>
  </si>
  <si>
    <t>Item3</t>
  </si>
  <si>
    <t>Solution:</t>
  </si>
  <si>
    <t xml:space="preserve">                              The average sale of item price above 100 but less than 300:</t>
  </si>
  <si>
    <t xml:space="preserve">                                          =</t>
  </si>
  <si>
    <t>Formula:</t>
  </si>
  <si>
    <t>AVERAGEIFS</t>
  </si>
  <si>
    <t>Q.4 Count how many customer name are recorded</t>
  </si>
  <si>
    <t>OrderID</t>
  </si>
  <si>
    <t>CustomerName</t>
  </si>
  <si>
    <t>Region</t>
  </si>
  <si>
    <t>Product</t>
  </si>
  <si>
    <t>Quantity</t>
  </si>
  <si>
    <t>UnitPrice</t>
  </si>
  <si>
    <t>OrderDate</t>
  </si>
  <si>
    <t>SOLUTION: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</si>
  <si>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</si>
  <si>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</si>
  <si>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</si>
  <si>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</si>
  <si>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</si>
  <si>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</si>
  <si>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</si>
  <si>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</si>
  <si>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</si>
  <si>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formula is used by COUNTA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</si>
  <si>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</si>
  <si>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</si>
  <si>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</si>
  <si>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</si>
  <si>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</si>
  <si>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</si>
  <si>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</si>
  <si>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</si>
  <si>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</si>
  <si>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</si>
  <si>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</si>
  <si>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</si>
  <si>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</si>
  <si>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</si>
  <si>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</si>
  <si>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</si>
  <si>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</si>
  <si>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</si>
  <si>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</si>
  <si>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</si>
  <si>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</si>
  <si>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</si>
  <si>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</si>
  <si>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</si>
  <si>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</si>
  <si>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</si>
  <si>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</si>
  <si>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</si>
  <si>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</si>
  <si>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</si>
  <si>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</si>
  <si>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</si>
  <si>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</si>
  <si>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</si>
  <si>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</si>
  <si>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</si>
  <si>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</si>
  <si>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</si>
  <si>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</si>
  <si>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</si>
  <si>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</si>
  <si>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</si>
  <si>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</si>
  <si>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</si>
  <si>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</si>
  <si>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</si>
  <si>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</si>
  <si>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</si>
  <si>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</si>
  <si>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</si>
  <si>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</si>
  <si>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</si>
  <si>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</si>
  <si>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</si>
  <si>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</si>
  <si>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</si>
  <si>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</si>
  <si>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</si>
  <si>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</si>
  <si>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</si>
  <si>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</si>
  <si>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</si>
  <si>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</si>
  <si>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</si>
  <si>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</si>
  <si>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</si>
  <si>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</si>
  <si>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</si>
  <si>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</si>
  <si>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</si>
  <si>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</si>
  <si>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</si>
  <si>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</si>
  <si>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</si>
  <si>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</si>
  <si>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</si>
  <si>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Q.5 Calculate the Total Sales for each row using a formula.</t>
  </si>
  <si>
    <t>sol.</t>
  </si>
  <si>
    <t>Q.6 Calculate the total sales of Notebooks in the North region only</t>
  </si>
  <si>
    <t>Total Sale</t>
  </si>
  <si>
    <t xml:space="preserve"> </t>
  </si>
  <si>
    <t>Sol.</t>
  </si>
  <si>
    <t>solution:</t>
  </si>
  <si>
    <t>Formula- SUMIFS</t>
  </si>
  <si>
    <t>Q.7 Create a column chart showing total sales by product</t>
  </si>
  <si>
    <t>Total Sales</t>
  </si>
  <si>
    <t>Q.8 Insert a line chart showing daily sales trend.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</si>
</sst>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3C78D8"/>
      <name val="Arial"/>
      <scheme val="minor"/>
    </font>
    <font>
      <color rgb="FF00FFFF"/>
      <name val="Arial"/>
      <scheme val="minor"/>
    </font>
    <font>
      <b/>
      <sz val="11.0"/>
      <color rgb="FF000000"/>
      <name val="Calibri"/>
    </font>
    <font>
      <color theme="4"/>
      <name val="Arial"/>
      <scheme val="minor"/>
    </font>
    <font>
      <sz val="12.0"/>
      <color rgb="FF000000"/>
      <name val="Calibri"/>
    </font>
    <font>
      <color rgb="FFFFFFFF"/>
      <name val="Arial"/>
      <scheme val="minor"/>
    </font>
    <font>
      <sz val="24.0"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ACB9CA"/>
        <bgColor rgb="FFACB9CA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9900FF"/>
        <bgColor rgb="FF9900F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45818E"/>
        <bgColor rgb="FF45818E"/>
      </patternFill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F8CBAD"/>
        <bgColor rgb="FFF8CBAD"/>
      </patternFill>
    </fill>
    <fill>
      <patternFill patternType="solid">
        <fgColor rgb="FFC9DAF8"/>
        <bgColor rgb="FFC9DAF8"/>
      </patternFill>
    </fill>
    <fill>
      <patternFill patternType="solid">
        <fgColor rgb="FFF4B084"/>
        <bgColor rgb="FFF4B084"/>
      </patternFill>
    </fill>
    <fill>
      <patternFill patternType="solid">
        <fgColor rgb="FFB4C6E7"/>
        <bgColor rgb="FFB4C6E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5" fontId="1" numFmtId="0" xfId="0" applyFill="1" applyFont="1"/>
    <xf borderId="0" fillId="5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6" fontId="2" numFmtId="0" xfId="0" applyAlignment="1" applyFill="1" applyFont="1">
      <alignment readingOrder="0" shrinkToFit="0" vertical="bottom" wrapText="0"/>
    </xf>
    <xf borderId="0" fillId="6" fontId="2" numFmtId="0" xfId="0" applyAlignment="1" applyFont="1">
      <alignment horizontal="left" readingOrder="0"/>
    </xf>
    <xf borderId="0" fillId="6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7" fontId="3" numFmtId="0" xfId="0" applyAlignment="1" applyFill="1" applyFont="1">
      <alignment readingOrder="0"/>
    </xf>
    <xf borderId="0" fillId="7" fontId="3" numFmtId="0" xfId="0" applyFont="1"/>
    <xf borderId="0" fillId="8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4" fontId="1" numFmtId="0" xfId="0" applyFont="1"/>
    <xf borderId="0" fillId="9" fontId="1" numFmtId="0" xfId="0" applyFill="1" applyFont="1"/>
    <xf borderId="0" fillId="10" fontId="1" numFmtId="0" xfId="0" applyAlignment="1" applyFill="1" applyFont="1">
      <alignment readingOrder="0"/>
    </xf>
    <xf borderId="0" fillId="7" fontId="1" numFmtId="0" xfId="0" applyAlignment="1" applyFont="1">
      <alignment readingOrder="0"/>
    </xf>
    <xf borderId="0" fillId="7" fontId="1" numFmtId="0" xfId="0" applyFont="1"/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Fill="1" applyFont="1"/>
    <xf borderId="0" fillId="14" fontId="1" numFmtId="0" xfId="0" applyFill="1" applyFont="1"/>
    <xf borderId="0" fillId="15" fontId="1" numFmtId="0" xfId="0" applyAlignment="1" applyFill="1" applyFont="1">
      <alignment readingOrder="0"/>
    </xf>
    <xf borderId="0" fillId="16" fontId="1" numFmtId="0" xfId="0" applyAlignment="1" applyFill="1" applyFont="1">
      <alignment readingOrder="0"/>
    </xf>
    <xf borderId="0" fillId="16" fontId="1" numFmtId="0" xfId="0" applyFont="1"/>
    <xf borderId="1" fillId="17" fontId="5" numFmtId="0" xfId="0" applyAlignment="1" applyBorder="1" applyFill="1" applyFont="1">
      <alignment readingOrder="0" shrinkToFit="0" vertical="bottom" wrapText="0"/>
    </xf>
    <xf borderId="1" fillId="6" fontId="2" numFmtId="0" xfId="0" applyAlignment="1" applyBorder="1" applyFont="1">
      <alignment horizontal="right" readingOrder="0" shrinkToFit="0" vertical="bottom" wrapText="0"/>
    </xf>
    <xf borderId="1" fillId="6" fontId="2" numFmtId="0" xfId="0" applyAlignment="1" applyBorder="1" applyFont="1">
      <alignment readingOrder="0" shrinkToFit="0" vertical="bottom" wrapText="0"/>
    </xf>
    <xf borderId="1" fillId="6" fontId="2" numFmtId="164" xfId="0" applyAlignment="1" applyBorder="1" applyFont="1" applyNumberFormat="1">
      <alignment horizontal="right" readingOrder="0" shrinkToFit="0" vertical="bottom" wrapText="0"/>
    </xf>
    <xf borderId="0" fillId="18" fontId="6" numFmtId="0" xfId="0" applyFill="1" applyFont="1"/>
    <xf borderId="0" fillId="19" fontId="7" numFmtId="0" xfId="0" applyAlignment="1" applyFill="1" applyFont="1">
      <alignment horizontal="center" readingOrder="0" shrinkToFit="0" vertical="bottom" wrapText="0"/>
    </xf>
    <xf borderId="0" fillId="7" fontId="7" numFmtId="0" xfId="0" applyAlignment="1" applyFont="1">
      <alignment horizontal="center" readingOrder="0" shrinkToFit="0" vertical="bottom" wrapText="0"/>
    </xf>
    <xf borderId="2" fillId="17" fontId="5" numFmtId="0" xfId="0" applyAlignment="1" applyBorder="1" applyFont="1">
      <alignment readingOrder="0" shrinkToFit="0" vertical="bottom" wrapText="0"/>
    </xf>
    <xf borderId="0" fillId="0" fontId="1" numFmtId="0" xfId="0" applyFont="1"/>
    <xf borderId="1" fillId="20" fontId="2" numFmtId="0" xfId="0" applyAlignment="1" applyBorder="1" applyFill="1" applyFont="1">
      <alignment horizontal="right" readingOrder="0" shrinkToFit="0" vertical="bottom" wrapText="0"/>
    </xf>
    <xf borderId="0" fillId="15" fontId="1" numFmtId="0" xfId="0" applyFont="1"/>
    <xf borderId="0" fillId="3" fontId="8" numFmtId="0" xfId="0" applyFont="1"/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F1C232"/>
                </a:solidFill>
                <a:latin typeface="Comic Sans MS"/>
              </a:defRPr>
            </a:pPr>
            <a:r>
              <a:rPr b="1" i="0" sz="2400">
                <a:solidFill>
                  <a:srgbClr val="F1C232"/>
                </a:solidFill>
                <a:latin typeface="Comic Sans MS"/>
              </a:rPr>
              <a:t>Total Sales V/S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Q.7!$I$5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Q.7!$E$6:$E$55</c:f>
            </c:strRef>
          </c:cat>
          <c:val>
            <c:numRef>
              <c:f>Q.7!$I$6:$I$55</c:f>
              <c:numCache/>
            </c:numRef>
          </c:val>
        </c:ser>
        <c:axId val="1123585891"/>
        <c:axId val="198602245"/>
      </c:barChart>
      <c:catAx>
        <c:axId val="1123585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02245"/>
      </c:catAx>
      <c:valAx>
        <c:axId val="19860224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58589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CC0000"/>
                </a:solidFill>
                <a:latin typeface="+mn-lt"/>
              </a:defRPr>
            </a:pPr>
            <a:r>
              <a:rPr b="1" i="1">
                <a:solidFill>
                  <a:srgbClr val="CC0000"/>
                </a:solidFill>
                <a:latin typeface="+mn-lt"/>
              </a:rPr>
              <a:t>Daily Trends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Q.8!$H$5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Q.8!$G$6:$G$55</c:f>
            </c:strRef>
          </c:cat>
          <c:val>
            <c:numRef>
              <c:f>Q.8!$H$6:$H$55</c:f>
              <c:numCache/>
            </c:numRef>
          </c:val>
        </c:ser>
        <c:axId val="1637993885"/>
        <c:axId val="2100381777"/>
      </c:areaChart>
      <c:catAx>
        <c:axId val="1637993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381777"/>
      </c:catAx>
      <c:valAx>
        <c:axId val="2100381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993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352425</xdr:colOff>
      <xdr:row>17</xdr:row>
      <xdr:rowOff>190500</xdr:rowOff>
    </xdr:from>
    <xdr:ext cx="8915400" cy="4667250"/>
    <xdr:graphicFrame>
      <xdr:nvGraphicFramePr>
        <xdr:cNvPr descr="sales&#10;&#10;&#10;&#10;&#10;&#10;" id="1" name="Chart 1" title="Produc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495300</xdr:colOff>
      <xdr:row>7</xdr:row>
      <xdr:rowOff>47625</xdr:rowOff>
    </xdr:from>
    <xdr:ext cx="8486775" cy="3000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8.63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0.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0.5" customHeight="1">
      <c r="A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5" t="s">
        <v>2</v>
      </c>
      <c r="B5" s="6"/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20.25" customHeight="1">
      <c r="A6" s="7" t="s">
        <v>3</v>
      </c>
    </row>
    <row r="7">
      <c r="A7" s="8" t="s">
        <v>4</v>
      </c>
    </row>
    <row r="8" ht="19.5" customHeight="1">
      <c r="A8" s="8" t="s">
        <v>5</v>
      </c>
    </row>
    <row r="9" ht="23.25" customHeight="1">
      <c r="A9" s="8" t="s">
        <v>6</v>
      </c>
    </row>
    <row r="10">
      <c r="A10" s="8" t="s">
        <v>7</v>
      </c>
    </row>
    <row r="11">
      <c r="A11" s="8" t="s">
        <v>8</v>
      </c>
    </row>
    <row r="12">
      <c r="A12" s="8" t="s">
        <v>9</v>
      </c>
    </row>
    <row r="13" ht="25.5" customHeight="1">
      <c r="A13" s="9" t="s">
        <v>10</v>
      </c>
    </row>
    <row r="14">
      <c r="A14" s="8" t="s">
        <v>11</v>
      </c>
    </row>
    <row r="15">
      <c r="A15" s="8" t="s">
        <v>12</v>
      </c>
    </row>
    <row r="16">
      <c r="A16" s="8" t="s">
        <v>13</v>
      </c>
    </row>
    <row r="17">
      <c r="A17" s="8" t="s">
        <v>14</v>
      </c>
    </row>
    <row r="18">
      <c r="A18" s="8" t="s">
        <v>7</v>
      </c>
    </row>
    <row r="19">
      <c r="A19" s="8" t="s">
        <v>15</v>
      </c>
    </row>
    <row r="20">
      <c r="A20" s="8" t="s">
        <v>9</v>
      </c>
    </row>
    <row r="21">
      <c r="A21" s="10" t="s">
        <v>16</v>
      </c>
    </row>
    <row r="22">
      <c r="A22" s="8" t="s">
        <v>17</v>
      </c>
    </row>
    <row r="23">
      <c r="A23" s="8" t="s">
        <v>18</v>
      </c>
    </row>
    <row r="24">
      <c r="A24" s="8" t="s">
        <v>19</v>
      </c>
    </row>
    <row r="25">
      <c r="A25" s="8" t="s">
        <v>20</v>
      </c>
    </row>
    <row r="26">
      <c r="A26" s="8" t="s">
        <v>21</v>
      </c>
    </row>
    <row r="27">
      <c r="A27" s="8" t="s">
        <v>22</v>
      </c>
    </row>
    <row r="28">
      <c r="A28" s="8" t="s">
        <v>7</v>
      </c>
    </row>
    <row r="29">
      <c r="A29" s="8" t="s">
        <v>23</v>
      </c>
    </row>
    <row r="30">
      <c r="A30" s="8" t="s">
        <v>9</v>
      </c>
    </row>
    <row r="31">
      <c r="A31" s="8" t="s">
        <v>24</v>
      </c>
    </row>
    <row r="32">
      <c r="A3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sheetData>
    <row r="3">
      <c r="D3" s="12" t="s">
        <v>25</v>
      </c>
      <c r="E3" s="13"/>
      <c r="F3" s="13"/>
      <c r="G3" s="13"/>
      <c r="H3" s="13"/>
    </row>
    <row r="5">
      <c r="F5" s="14" t="s">
        <v>26</v>
      </c>
      <c r="G5" s="14" t="s">
        <v>27</v>
      </c>
    </row>
    <row r="6">
      <c r="F6" s="14" t="s">
        <v>28</v>
      </c>
      <c r="G6" s="14">
        <v>500000.0</v>
      </c>
    </row>
    <row r="7">
      <c r="F7" s="14" t="s">
        <v>29</v>
      </c>
      <c r="G7" s="14">
        <v>10500.0</v>
      </c>
    </row>
    <row r="8">
      <c r="F8" s="14" t="s">
        <v>30</v>
      </c>
      <c r="G8" s="14">
        <v>25000.0</v>
      </c>
    </row>
    <row r="10">
      <c r="D10" s="15" t="s">
        <v>31</v>
      </c>
    </row>
    <row r="11">
      <c r="E11" s="3" t="s">
        <v>32</v>
      </c>
      <c r="F11" s="16"/>
      <c r="G11" s="17">
        <f>SUM(G6:G7)</f>
        <v>510500</v>
      </c>
    </row>
    <row r="15">
      <c r="F15" s="18" t="s">
        <v>33</v>
      </c>
    </row>
  </sheetData>
  <mergeCells count="1">
    <mergeCell ref="F15:G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</sheetPr>
  <sheetViews>
    <sheetView workbookViewId="0"/>
  </sheetViews>
  <sheetFormatPr customHeight="1" defaultColWidth="12.63" defaultRowHeight="15.75"/>
  <sheetData>
    <row r="3">
      <c r="D3" s="3" t="s">
        <v>34</v>
      </c>
      <c r="E3" s="16"/>
      <c r="F3" s="16"/>
      <c r="G3" s="16"/>
      <c r="H3" s="16"/>
      <c r="I3" s="16"/>
    </row>
    <row r="4">
      <c r="D4" s="19" t="s">
        <v>35</v>
      </c>
      <c r="E4" s="20"/>
    </row>
    <row r="6">
      <c r="E6" s="1" t="s">
        <v>36</v>
      </c>
      <c r="F6" s="21" t="s">
        <v>37</v>
      </c>
      <c r="G6" s="19" t="s">
        <v>38</v>
      </c>
    </row>
    <row r="7">
      <c r="E7" s="1" t="s">
        <v>39</v>
      </c>
      <c r="F7" s="21">
        <v>90.0</v>
      </c>
      <c r="G7" s="19">
        <v>1000.0</v>
      </c>
    </row>
    <row r="8">
      <c r="E8" s="1" t="s">
        <v>40</v>
      </c>
      <c r="F8" s="21">
        <v>150.0</v>
      </c>
      <c r="G8" s="19">
        <v>1200.0</v>
      </c>
    </row>
    <row r="9">
      <c r="E9" s="1" t="s">
        <v>41</v>
      </c>
      <c r="F9" s="21">
        <v>250.0</v>
      </c>
      <c r="G9" s="19">
        <v>1500.0</v>
      </c>
    </row>
    <row r="11">
      <c r="E11" s="22" t="s">
        <v>42</v>
      </c>
    </row>
    <row r="12">
      <c r="E12" s="7" t="s">
        <v>43</v>
      </c>
      <c r="F12" s="23"/>
      <c r="G12" s="23"/>
      <c r="H12" s="23"/>
      <c r="I12" s="23"/>
    </row>
    <row r="13">
      <c r="E13" s="7" t="s">
        <v>44</v>
      </c>
      <c r="F13" s="24">
        <f>AVERAGEIFS($G$7:$G$9,$F$7:$F$9,"&gt;100",$F$7:$F$9,"&lt;300")</f>
        <v>1350</v>
      </c>
    </row>
    <row r="15">
      <c r="F15" s="3" t="s">
        <v>45</v>
      </c>
    </row>
    <row r="16">
      <c r="F16" s="25" t="s">
        <v>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3">
      <c r="B3" s="26" t="s">
        <v>47</v>
      </c>
      <c r="C3" s="27"/>
      <c r="D3" s="27"/>
    </row>
    <row r="5">
      <c r="B5" s="28" t="s">
        <v>48</v>
      </c>
      <c r="C5" s="28" t="s">
        <v>49</v>
      </c>
      <c r="D5" s="28" t="s">
        <v>50</v>
      </c>
      <c r="E5" s="28" t="s">
        <v>51</v>
      </c>
      <c r="F5" s="28" t="s">
        <v>52</v>
      </c>
      <c r="G5" s="28" t="s">
        <v>53</v>
      </c>
      <c r="H5" s="28" t="s">
        <v>54</v>
      </c>
      <c r="J5" s="15" t="s">
        <v>55</v>
      </c>
    </row>
    <row r="6">
      <c r="B6" s="29">
        <v>1001.0</v>
      </c>
      <c r="C6" s="30" t="s">
        <v>56</v>
      </c>
      <c r="D6" s="30" t="s">
        <v>57</v>
      </c>
      <c r="E6" s="30" t="s">
        <v>58</v>
      </c>
      <c r="F6" s="29">
        <v>10.0</v>
      </c>
      <c r="G6" s="29">
        <v>50.0</v>
      </c>
      <c r="H6" s="31">
        <v>45413.0</v>
      </c>
      <c r="J6" s="32">
        <f>COUNTA(C6:C55)</f>
        <v>50</v>
      </c>
    </row>
    <row r="7">
      <c r="B7" s="29">
        <v>1002.0</v>
      </c>
      <c r="C7" s="30" t="s">
        <v>59</v>
      </c>
      <c r="D7" s="30" t="s">
        <v>60</v>
      </c>
      <c r="E7" s="30" t="s">
        <v>61</v>
      </c>
      <c r="F7" s="29">
        <v>20.0</v>
      </c>
      <c r="G7" s="29">
        <v>10.0</v>
      </c>
      <c r="H7" s="31">
        <v>45444.0</v>
      </c>
    </row>
    <row r="8">
      <c r="B8" s="29">
        <v>1003.0</v>
      </c>
      <c r="C8" s="30" t="s">
        <v>62</v>
      </c>
      <c r="D8" s="30" t="s">
        <v>63</v>
      </c>
      <c r="E8" s="30" t="s">
        <v>64</v>
      </c>
      <c r="F8" s="29">
        <v>15.0</v>
      </c>
      <c r="G8" s="29">
        <v>25.0</v>
      </c>
      <c r="H8" s="31">
        <v>45474.0</v>
      </c>
      <c r="J8" s="5" t="s">
        <v>65</v>
      </c>
      <c r="K8" s="4"/>
    </row>
    <row r="9">
      <c r="B9" s="29">
        <v>1004.0</v>
      </c>
      <c r="C9" s="30" t="s">
        <v>66</v>
      </c>
      <c r="D9" s="30" t="s">
        <v>67</v>
      </c>
      <c r="E9" s="30" t="s">
        <v>58</v>
      </c>
      <c r="F9" s="29">
        <v>5.0</v>
      </c>
      <c r="G9" s="29">
        <v>50.0</v>
      </c>
      <c r="H9" s="31">
        <v>45505.0</v>
      </c>
    </row>
    <row r="10">
      <c r="B10" s="29">
        <v>1005.0</v>
      </c>
      <c r="C10" s="30" t="s">
        <v>68</v>
      </c>
      <c r="D10" s="30" t="s">
        <v>57</v>
      </c>
      <c r="E10" s="30" t="s">
        <v>69</v>
      </c>
      <c r="F10" s="29">
        <v>30.0</v>
      </c>
      <c r="G10" s="29">
        <v>5.0</v>
      </c>
      <c r="H10" s="31">
        <v>45566.0</v>
      </c>
    </row>
    <row r="11">
      <c r="B11" s="29">
        <v>1006.0</v>
      </c>
      <c r="C11" s="30" t="s">
        <v>70</v>
      </c>
      <c r="D11" s="30" t="s">
        <v>60</v>
      </c>
      <c r="E11" s="30" t="s">
        <v>58</v>
      </c>
      <c r="F11" s="29">
        <v>12.0</v>
      </c>
      <c r="G11" s="29">
        <v>50.0</v>
      </c>
      <c r="H11" s="31">
        <v>45597.0</v>
      </c>
    </row>
    <row r="12">
      <c r="B12" s="29">
        <v>1007.0</v>
      </c>
      <c r="C12" s="30" t="s">
        <v>71</v>
      </c>
      <c r="D12" s="30" t="s">
        <v>63</v>
      </c>
      <c r="E12" s="30" t="s">
        <v>72</v>
      </c>
      <c r="F12" s="29">
        <v>25.0</v>
      </c>
      <c r="G12" s="29">
        <v>8.0</v>
      </c>
      <c r="H12" s="29" t="s">
        <v>73</v>
      </c>
    </row>
    <row r="13">
      <c r="B13" s="29">
        <v>1008.0</v>
      </c>
      <c r="C13" s="30" t="s">
        <v>74</v>
      </c>
      <c r="D13" s="30" t="s">
        <v>67</v>
      </c>
      <c r="E13" s="30" t="s">
        <v>61</v>
      </c>
      <c r="F13" s="29">
        <v>18.0</v>
      </c>
      <c r="G13" s="29">
        <v>10.0</v>
      </c>
      <c r="H13" s="29" t="s">
        <v>75</v>
      </c>
    </row>
    <row r="14">
      <c r="B14" s="29">
        <v>1009.0</v>
      </c>
      <c r="C14" s="30" t="s">
        <v>76</v>
      </c>
      <c r="D14" s="30" t="s">
        <v>57</v>
      </c>
      <c r="E14" s="30" t="s">
        <v>64</v>
      </c>
      <c r="F14" s="29">
        <v>22.0</v>
      </c>
      <c r="G14" s="29">
        <v>25.0</v>
      </c>
      <c r="H14" s="29" t="s">
        <v>77</v>
      </c>
    </row>
    <row r="15">
      <c r="B15" s="29">
        <v>1010.0</v>
      </c>
      <c r="C15" s="30" t="s">
        <v>78</v>
      </c>
      <c r="D15" s="30" t="s">
        <v>60</v>
      </c>
      <c r="E15" s="30" t="s">
        <v>58</v>
      </c>
      <c r="F15" s="29">
        <v>8.0</v>
      </c>
      <c r="G15" s="29">
        <v>50.0</v>
      </c>
      <c r="H15" s="29" t="s">
        <v>79</v>
      </c>
    </row>
    <row r="16">
      <c r="B16" s="29">
        <v>1011.0</v>
      </c>
      <c r="C16" s="30" t="s">
        <v>80</v>
      </c>
      <c r="D16" s="30" t="s">
        <v>63</v>
      </c>
      <c r="E16" s="30" t="s">
        <v>69</v>
      </c>
      <c r="F16" s="29">
        <v>40.0</v>
      </c>
      <c r="G16" s="29">
        <v>5.0</v>
      </c>
      <c r="H16" s="29" t="s">
        <v>81</v>
      </c>
    </row>
    <row r="17">
      <c r="B17" s="29">
        <v>1012.0</v>
      </c>
      <c r="C17" s="30" t="s">
        <v>82</v>
      </c>
      <c r="D17" s="30" t="s">
        <v>67</v>
      </c>
      <c r="E17" s="30" t="s">
        <v>72</v>
      </c>
      <c r="F17" s="29">
        <v>35.0</v>
      </c>
      <c r="G17" s="29">
        <v>8.0</v>
      </c>
      <c r="H17" s="29" t="s">
        <v>83</v>
      </c>
    </row>
    <row r="18">
      <c r="B18" s="29">
        <v>1013.0</v>
      </c>
      <c r="C18" s="30" t="s">
        <v>84</v>
      </c>
      <c r="D18" s="30" t="s">
        <v>57</v>
      </c>
      <c r="E18" s="30" t="s">
        <v>58</v>
      </c>
      <c r="F18" s="29">
        <v>14.0</v>
      </c>
      <c r="G18" s="29">
        <v>50.0</v>
      </c>
      <c r="H18" s="29" t="s">
        <v>85</v>
      </c>
    </row>
    <row r="19">
      <c r="B19" s="29">
        <v>1014.0</v>
      </c>
      <c r="C19" s="30" t="s">
        <v>86</v>
      </c>
      <c r="D19" s="30" t="s">
        <v>60</v>
      </c>
      <c r="E19" s="30" t="s">
        <v>61</v>
      </c>
      <c r="F19" s="29">
        <v>28.0</v>
      </c>
      <c r="G19" s="29">
        <v>10.0</v>
      </c>
      <c r="H19" s="29" t="s">
        <v>87</v>
      </c>
    </row>
    <row r="20">
      <c r="B20" s="29">
        <v>1015.0</v>
      </c>
      <c r="C20" s="30" t="s">
        <v>88</v>
      </c>
      <c r="D20" s="30" t="s">
        <v>63</v>
      </c>
      <c r="E20" s="30" t="s">
        <v>64</v>
      </c>
      <c r="F20" s="29">
        <v>12.0</v>
      </c>
      <c r="G20" s="29">
        <v>25.0</v>
      </c>
      <c r="H20" s="29" t="s">
        <v>89</v>
      </c>
    </row>
    <row r="21">
      <c r="B21" s="29">
        <v>1016.0</v>
      </c>
      <c r="C21" s="30" t="s">
        <v>90</v>
      </c>
      <c r="D21" s="30" t="s">
        <v>67</v>
      </c>
      <c r="E21" s="30" t="s">
        <v>69</v>
      </c>
      <c r="F21" s="29">
        <v>25.0</v>
      </c>
      <c r="G21" s="29">
        <v>5.0</v>
      </c>
      <c r="H21" s="29" t="s">
        <v>91</v>
      </c>
    </row>
    <row r="22">
      <c r="B22" s="29">
        <v>1017.0</v>
      </c>
      <c r="C22" s="30" t="s">
        <v>92</v>
      </c>
      <c r="D22" s="30" t="s">
        <v>57</v>
      </c>
      <c r="E22" s="30" t="s">
        <v>72</v>
      </c>
      <c r="F22" s="29">
        <v>20.0</v>
      </c>
      <c r="G22" s="29">
        <v>8.0</v>
      </c>
      <c r="H22" s="29" t="s">
        <v>93</v>
      </c>
    </row>
    <row r="23">
      <c r="B23" s="29">
        <v>1018.0</v>
      </c>
      <c r="C23" s="30" t="s">
        <v>94</v>
      </c>
      <c r="D23" s="30" t="s">
        <v>60</v>
      </c>
      <c r="E23" s="30" t="s">
        <v>58</v>
      </c>
      <c r="F23" s="29">
        <v>10.0</v>
      </c>
      <c r="G23" s="29">
        <v>50.0</v>
      </c>
      <c r="H23" s="29" t="s">
        <v>95</v>
      </c>
    </row>
    <row r="24">
      <c r="B24" s="29">
        <v>1019.0</v>
      </c>
      <c r="C24" s="30" t="s">
        <v>96</v>
      </c>
      <c r="D24" s="30" t="s">
        <v>63</v>
      </c>
      <c r="E24" s="30" t="s">
        <v>61</v>
      </c>
      <c r="F24" s="29">
        <v>15.0</v>
      </c>
      <c r="G24" s="29">
        <v>10.0</v>
      </c>
      <c r="H24" s="29" t="s">
        <v>97</v>
      </c>
    </row>
    <row r="25">
      <c r="B25" s="29">
        <v>1020.0</v>
      </c>
      <c r="C25" s="30" t="s">
        <v>98</v>
      </c>
      <c r="D25" s="30" t="s">
        <v>67</v>
      </c>
      <c r="E25" s="30" t="s">
        <v>64</v>
      </c>
      <c r="F25" s="29">
        <v>18.0</v>
      </c>
      <c r="G25" s="29">
        <v>25.0</v>
      </c>
      <c r="H25" s="31">
        <v>45293.0</v>
      </c>
    </row>
    <row r="26">
      <c r="B26" s="29">
        <v>1021.0</v>
      </c>
      <c r="C26" s="30" t="s">
        <v>99</v>
      </c>
      <c r="D26" s="30" t="s">
        <v>57</v>
      </c>
      <c r="E26" s="30" t="s">
        <v>58</v>
      </c>
      <c r="F26" s="29">
        <v>9.0</v>
      </c>
      <c r="G26" s="29">
        <v>50.0</v>
      </c>
      <c r="H26" s="31">
        <v>45324.0</v>
      </c>
    </row>
    <row r="27">
      <c r="B27" s="29">
        <v>1022.0</v>
      </c>
      <c r="C27" s="30" t="s">
        <v>100</v>
      </c>
      <c r="D27" s="30" t="s">
        <v>60</v>
      </c>
      <c r="E27" s="30" t="s">
        <v>69</v>
      </c>
      <c r="F27" s="29">
        <v>35.0</v>
      </c>
      <c r="G27" s="29">
        <v>5.0</v>
      </c>
      <c r="H27" s="31">
        <v>45353.0</v>
      </c>
    </row>
    <row r="28">
      <c r="B28" s="29">
        <v>1023.0</v>
      </c>
      <c r="C28" s="30" t="s">
        <v>101</v>
      </c>
      <c r="D28" s="30" t="s">
        <v>63</v>
      </c>
      <c r="E28" s="30" t="s">
        <v>72</v>
      </c>
      <c r="F28" s="29">
        <v>30.0</v>
      </c>
      <c r="G28" s="29">
        <v>8.0</v>
      </c>
      <c r="H28" s="31">
        <v>45384.0</v>
      </c>
    </row>
    <row r="29">
      <c r="B29" s="29">
        <v>1024.0</v>
      </c>
      <c r="C29" s="30" t="s">
        <v>102</v>
      </c>
      <c r="D29" s="30" t="s">
        <v>67</v>
      </c>
      <c r="E29" s="30" t="s">
        <v>58</v>
      </c>
      <c r="F29" s="29">
        <v>11.0</v>
      </c>
      <c r="G29" s="29">
        <v>50.0</v>
      </c>
      <c r="H29" s="31">
        <v>45445.0</v>
      </c>
    </row>
    <row r="30">
      <c r="B30" s="29">
        <v>1025.0</v>
      </c>
      <c r="C30" s="30" t="s">
        <v>103</v>
      </c>
      <c r="D30" s="30" t="s">
        <v>57</v>
      </c>
      <c r="E30" s="30" t="s">
        <v>61</v>
      </c>
      <c r="F30" s="29">
        <v>14.0</v>
      </c>
      <c r="G30" s="29">
        <v>10.0</v>
      </c>
      <c r="H30" s="31">
        <v>45475.0</v>
      </c>
    </row>
    <row r="31">
      <c r="B31" s="29">
        <v>1026.0</v>
      </c>
      <c r="C31" s="30" t="s">
        <v>104</v>
      </c>
      <c r="D31" s="30" t="s">
        <v>60</v>
      </c>
      <c r="E31" s="30" t="s">
        <v>64</v>
      </c>
      <c r="F31" s="29">
        <v>16.0</v>
      </c>
      <c r="G31" s="29">
        <v>25.0</v>
      </c>
      <c r="H31" s="31">
        <v>45506.0</v>
      </c>
    </row>
    <row r="32">
      <c r="B32" s="29">
        <v>1027.0</v>
      </c>
      <c r="C32" s="30" t="s">
        <v>105</v>
      </c>
      <c r="D32" s="30" t="s">
        <v>63</v>
      </c>
      <c r="E32" s="30" t="s">
        <v>69</v>
      </c>
      <c r="F32" s="29">
        <v>22.0</v>
      </c>
      <c r="G32" s="29">
        <v>5.0</v>
      </c>
      <c r="H32" s="31">
        <v>45537.0</v>
      </c>
    </row>
    <row r="33">
      <c r="B33" s="29">
        <v>1028.0</v>
      </c>
      <c r="C33" s="30" t="s">
        <v>106</v>
      </c>
      <c r="D33" s="30" t="s">
        <v>67</v>
      </c>
      <c r="E33" s="30" t="s">
        <v>72</v>
      </c>
      <c r="F33" s="29">
        <v>27.0</v>
      </c>
      <c r="G33" s="29">
        <v>8.0</v>
      </c>
      <c r="H33" s="31">
        <v>45567.0</v>
      </c>
    </row>
    <row r="34">
      <c r="B34" s="29">
        <v>1029.0</v>
      </c>
      <c r="C34" s="30" t="s">
        <v>107</v>
      </c>
      <c r="D34" s="30" t="s">
        <v>57</v>
      </c>
      <c r="E34" s="30" t="s">
        <v>58</v>
      </c>
      <c r="F34" s="29">
        <v>13.0</v>
      </c>
      <c r="G34" s="29">
        <v>50.0</v>
      </c>
      <c r="H34" s="31">
        <v>45628.0</v>
      </c>
    </row>
    <row r="35">
      <c r="B35" s="29">
        <v>1030.0</v>
      </c>
      <c r="C35" s="30" t="s">
        <v>108</v>
      </c>
      <c r="D35" s="30" t="s">
        <v>60</v>
      </c>
      <c r="E35" s="30" t="s">
        <v>61</v>
      </c>
      <c r="F35" s="29">
        <v>32.0</v>
      </c>
      <c r="G35" s="29">
        <v>10.0</v>
      </c>
      <c r="H35" s="29" t="s">
        <v>109</v>
      </c>
    </row>
    <row r="36">
      <c r="B36" s="29">
        <v>1031.0</v>
      </c>
      <c r="C36" s="30" t="s">
        <v>110</v>
      </c>
      <c r="D36" s="30" t="s">
        <v>63</v>
      </c>
      <c r="E36" s="30" t="s">
        <v>64</v>
      </c>
      <c r="F36" s="29">
        <v>10.0</v>
      </c>
      <c r="G36" s="29">
        <v>25.0</v>
      </c>
      <c r="H36" s="29" t="s">
        <v>111</v>
      </c>
    </row>
    <row r="37">
      <c r="B37" s="29">
        <v>1032.0</v>
      </c>
      <c r="C37" s="30" t="s">
        <v>112</v>
      </c>
      <c r="D37" s="30" t="s">
        <v>67</v>
      </c>
      <c r="E37" s="30" t="s">
        <v>69</v>
      </c>
      <c r="F37" s="29">
        <v>18.0</v>
      </c>
      <c r="G37" s="29">
        <v>5.0</v>
      </c>
      <c r="H37" s="29" t="s">
        <v>113</v>
      </c>
    </row>
    <row r="38">
      <c r="B38" s="29">
        <v>1033.0</v>
      </c>
      <c r="C38" s="30" t="s">
        <v>114</v>
      </c>
      <c r="D38" s="30" t="s">
        <v>57</v>
      </c>
      <c r="E38" s="30" t="s">
        <v>72</v>
      </c>
      <c r="F38" s="29">
        <v>22.0</v>
      </c>
      <c r="G38" s="29">
        <v>8.0</v>
      </c>
      <c r="H38" s="29" t="s">
        <v>115</v>
      </c>
    </row>
    <row r="39">
      <c r="B39" s="29">
        <v>1034.0</v>
      </c>
      <c r="C39" s="30" t="s">
        <v>116</v>
      </c>
      <c r="D39" s="30" t="s">
        <v>60</v>
      </c>
      <c r="E39" s="30" t="s">
        <v>58</v>
      </c>
      <c r="F39" s="29">
        <v>17.0</v>
      </c>
      <c r="G39" s="29">
        <v>50.0</v>
      </c>
      <c r="H39" s="29" t="s">
        <v>117</v>
      </c>
    </row>
    <row r="40">
      <c r="B40" s="29">
        <v>1035.0</v>
      </c>
      <c r="C40" s="30" t="s">
        <v>118</v>
      </c>
      <c r="D40" s="30" t="s">
        <v>63</v>
      </c>
      <c r="E40" s="30" t="s">
        <v>61</v>
      </c>
      <c r="F40" s="29">
        <v>19.0</v>
      </c>
      <c r="G40" s="29">
        <v>10.0</v>
      </c>
      <c r="H40" s="29" t="s">
        <v>119</v>
      </c>
    </row>
    <row r="41">
      <c r="B41" s="29">
        <v>1036.0</v>
      </c>
      <c r="C41" s="30" t="s">
        <v>120</v>
      </c>
      <c r="D41" s="30" t="s">
        <v>67</v>
      </c>
      <c r="E41" s="30" t="s">
        <v>64</v>
      </c>
      <c r="F41" s="29">
        <v>15.0</v>
      </c>
      <c r="G41" s="29">
        <v>25.0</v>
      </c>
      <c r="H41" s="29" t="s">
        <v>121</v>
      </c>
    </row>
    <row r="42">
      <c r="B42" s="29">
        <v>1037.0</v>
      </c>
      <c r="C42" s="30" t="s">
        <v>122</v>
      </c>
      <c r="D42" s="30" t="s">
        <v>57</v>
      </c>
      <c r="E42" s="30" t="s">
        <v>69</v>
      </c>
      <c r="F42" s="29">
        <v>28.0</v>
      </c>
      <c r="G42" s="29">
        <v>5.0</v>
      </c>
      <c r="H42" s="29" t="s">
        <v>123</v>
      </c>
    </row>
    <row r="43">
      <c r="B43" s="29">
        <v>1038.0</v>
      </c>
      <c r="C43" s="30" t="s">
        <v>124</v>
      </c>
      <c r="D43" s="30" t="s">
        <v>60</v>
      </c>
      <c r="E43" s="30" t="s">
        <v>72</v>
      </c>
      <c r="F43" s="29">
        <v>24.0</v>
      </c>
      <c r="G43" s="29">
        <v>8.0</v>
      </c>
      <c r="H43" s="29" t="s">
        <v>125</v>
      </c>
    </row>
    <row r="44">
      <c r="B44" s="29">
        <v>1039.0</v>
      </c>
      <c r="C44" s="30" t="s">
        <v>126</v>
      </c>
      <c r="D44" s="30" t="s">
        <v>63</v>
      </c>
      <c r="E44" s="30" t="s">
        <v>58</v>
      </c>
      <c r="F44" s="29">
        <v>16.0</v>
      </c>
      <c r="G44" s="29">
        <v>50.0</v>
      </c>
      <c r="H44" s="29" t="s">
        <v>127</v>
      </c>
    </row>
    <row r="45">
      <c r="B45" s="29">
        <v>1040.0</v>
      </c>
      <c r="C45" s="30" t="s">
        <v>128</v>
      </c>
      <c r="D45" s="30" t="s">
        <v>67</v>
      </c>
      <c r="E45" s="30" t="s">
        <v>61</v>
      </c>
      <c r="F45" s="29">
        <v>27.0</v>
      </c>
      <c r="G45" s="29">
        <v>10.0</v>
      </c>
      <c r="H45" s="29" t="s">
        <v>129</v>
      </c>
    </row>
    <row r="46">
      <c r="B46" s="29">
        <v>1041.0</v>
      </c>
      <c r="C46" s="30" t="s">
        <v>130</v>
      </c>
      <c r="D46" s="30" t="s">
        <v>57</v>
      </c>
      <c r="E46" s="30" t="s">
        <v>64</v>
      </c>
      <c r="F46" s="29">
        <v>21.0</v>
      </c>
      <c r="G46" s="29">
        <v>25.0</v>
      </c>
      <c r="H46" s="29" t="s">
        <v>131</v>
      </c>
    </row>
    <row r="47">
      <c r="B47" s="29">
        <v>1042.0</v>
      </c>
      <c r="C47" s="30" t="s">
        <v>132</v>
      </c>
      <c r="D47" s="30" t="s">
        <v>60</v>
      </c>
      <c r="E47" s="30" t="s">
        <v>69</v>
      </c>
      <c r="F47" s="29">
        <v>30.0</v>
      </c>
      <c r="G47" s="29">
        <v>5.0</v>
      </c>
      <c r="H47" s="29" t="s">
        <v>133</v>
      </c>
    </row>
    <row r="48">
      <c r="B48" s="29">
        <v>1043.0</v>
      </c>
      <c r="C48" s="30" t="s">
        <v>134</v>
      </c>
      <c r="D48" s="30" t="s">
        <v>63</v>
      </c>
      <c r="E48" s="30" t="s">
        <v>72</v>
      </c>
      <c r="F48" s="29">
        <v>26.0</v>
      </c>
      <c r="G48" s="29">
        <v>8.0</v>
      </c>
      <c r="H48" s="31">
        <v>45294.0</v>
      </c>
    </row>
    <row r="49">
      <c r="B49" s="29">
        <v>1044.0</v>
      </c>
      <c r="C49" s="30" t="s">
        <v>135</v>
      </c>
      <c r="D49" s="30" t="s">
        <v>67</v>
      </c>
      <c r="E49" s="30" t="s">
        <v>58</v>
      </c>
      <c r="F49" s="29">
        <v>14.0</v>
      </c>
      <c r="G49" s="29">
        <v>50.0</v>
      </c>
      <c r="H49" s="31">
        <v>45325.0</v>
      </c>
    </row>
    <row r="50">
      <c r="B50" s="29">
        <v>1045.0</v>
      </c>
      <c r="C50" s="30" t="s">
        <v>136</v>
      </c>
      <c r="D50" s="30" t="s">
        <v>57</v>
      </c>
      <c r="E50" s="30" t="s">
        <v>61</v>
      </c>
      <c r="F50" s="29">
        <v>20.0</v>
      </c>
      <c r="G50" s="29">
        <v>10.0</v>
      </c>
      <c r="H50" s="31">
        <v>45354.0</v>
      </c>
    </row>
    <row r="51">
      <c r="B51" s="29">
        <v>1046.0</v>
      </c>
      <c r="C51" s="30" t="s">
        <v>137</v>
      </c>
      <c r="D51" s="30" t="s">
        <v>60</v>
      </c>
      <c r="E51" s="30" t="s">
        <v>64</v>
      </c>
      <c r="F51" s="29">
        <v>17.0</v>
      </c>
      <c r="G51" s="29">
        <v>25.0</v>
      </c>
      <c r="H51" s="31">
        <v>45385.0</v>
      </c>
    </row>
    <row r="52">
      <c r="B52" s="29">
        <v>1047.0</v>
      </c>
      <c r="C52" s="30" t="s">
        <v>138</v>
      </c>
      <c r="D52" s="30" t="s">
        <v>63</v>
      </c>
      <c r="E52" s="30" t="s">
        <v>69</v>
      </c>
      <c r="F52" s="29">
        <v>19.0</v>
      </c>
      <c r="G52" s="29">
        <v>5.0</v>
      </c>
      <c r="H52" s="31">
        <v>45415.0</v>
      </c>
    </row>
    <row r="53">
      <c r="B53" s="29">
        <v>1048.0</v>
      </c>
      <c r="C53" s="30" t="s">
        <v>139</v>
      </c>
      <c r="D53" s="30" t="s">
        <v>67</v>
      </c>
      <c r="E53" s="30" t="s">
        <v>72</v>
      </c>
      <c r="F53" s="29">
        <v>32.0</v>
      </c>
      <c r="G53" s="29">
        <v>8.0</v>
      </c>
      <c r="H53" s="31">
        <v>45446.0</v>
      </c>
    </row>
    <row r="54">
      <c r="B54" s="29">
        <v>1049.0</v>
      </c>
      <c r="C54" s="30" t="s">
        <v>140</v>
      </c>
      <c r="D54" s="30" t="s">
        <v>57</v>
      </c>
      <c r="E54" s="30" t="s">
        <v>58</v>
      </c>
      <c r="F54" s="29">
        <v>12.0</v>
      </c>
      <c r="G54" s="29">
        <v>50.0</v>
      </c>
      <c r="H54" s="31">
        <v>45476.0</v>
      </c>
    </row>
    <row r="55">
      <c r="B55" s="29">
        <v>1050.0</v>
      </c>
      <c r="C55" s="30" t="s">
        <v>141</v>
      </c>
      <c r="D55" s="30" t="s">
        <v>60</v>
      </c>
      <c r="E55" s="30" t="s">
        <v>61</v>
      </c>
      <c r="F55" s="29">
        <v>25.0</v>
      </c>
      <c r="G55" s="29">
        <v>10.0</v>
      </c>
      <c r="H55" s="31">
        <v>45507.0</v>
      </c>
    </row>
    <row r="56">
      <c r="B56" s="11"/>
      <c r="C56" s="11"/>
      <c r="D56" s="11"/>
      <c r="E56" s="11"/>
      <c r="F56" s="11"/>
      <c r="G56" s="11"/>
      <c r="H56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3">
      <c r="B3" s="33" t="s">
        <v>142</v>
      </c>
    </row>
    <row r="5">
      <c r="B5" s="28" t="s">
        <v>48</v>
      </c>
      <c r="C5" s="28" t="s">
        <v>49</v>
      </c>
      <c r="D5" s="28" t="s">
        <v>50</v>
      </c>
      <c r="E5" s="28" t="s">
        <v>51</v>
      </c>
      <c r="F5" s="28" t="s">
        <v>52</v>
      </c>
      <c r="G5" s="28" t="s">
        <v>53</v>
      </c>
      <c r="H5" s="28" t="s">
        <v>54</v>
      </c>
    </row>
    <row r="6">
      <c r="B6" s="29">
        <v>1001.0</v>
      </c>
      <c r="C6" s="30" t="s">
        <v>56</v>
      </c>
      <c r="D6" s="30" t="s">
        <v>57</v>
      </c>
      <c r="E6" s="30" t="s">
        <v>58</v>
      </c>
      <c r="F6" s="29">
        <v>10.0</v>
      </c>
      <c r="G6" s="29">
        <v>50.0</v>
      </c>
      <c r="H6" s="31">
        <v>45413.0</v>
      </c>
      <c r="J6" s="3" t="s">
        <v>143</v>
      </c>
    </row>
    <row r="7">
      <c r="B7" s="29">
        <v>1002.0</v>
      </c>
      <c r="C7" s="30" t="s">
        <v>59</v>
      </c>
      <c r="D7" s="30" t="s">
        <v>60</v>
      </c>
      <c r="E7" s="30" t="s">
        <v>61</v>
      </c>
      <c r="F7" s="29">
        <v>20.0</v>
      </c>
      <c r="G7" s="29">
        <v>10.0</v>
      </c>
      <c r="H7" s="31">
        <v>45444.0</v>
      </c>
    </row>
    <row r="8">
      <c r="B8" s="29">
        <v>1003.0</v>
      </c>
      <c r="C8" s="30" t="s">
        <v>62</v>
      </c>
      <c r="D8" s="30" t="s">
        <v>63</v>
      </c>
      <c r="E8" s="30" t="s">
        <v>64</v>
      </c>
      <c r="F8" s="29">
        <v>15.0</v>
      </c>
      <c r="G8" s="29">
        <v>25.0</v>
      </c>
      <c r="H8" s="31">
        <v>45474.0</v>
      </c>
      <c r="J8" s="20">
        <f t="shared" ref="J8:J57" si="1">PRODUCT($F6,$G6)</f>
        <v>500</v>
      </c>
    </row>
    <row r="9">
      <c r="B9" s="29">
        <v>1004.0</v>
      </c>
      <c r="C9" s="30" t="s">
        <v>66</v>
      </c>
      <c r="D9" s="30" t="s">
        <v>67</v>
      </c>
      <c r="E9" s="30" t="s">
        <v>58</v>
      </c>
      <c r="F9" s="29">
        <v>5.0</v>
      </c>
      <c r="G9" s="29">
        <v>50.0</v>
      </c>
      <c r="H9" s="31">
        <v>45505.0</v>
      </c>
      <c r="J9" s="20">
        <f t="shared" si="1"/>
        <v>200</v>
      </c>
    </row>
    <row r="10">
      <c r="B10" s="29">
        <v>1005.0</v>
      </c>
      <c r="C10" s="30" t="s">
        <v>68</v>
      </c>
      <c r="D10" s="30" t="s">
        <v>57</v>
      </c>
      <c r="E10" s="30" t="s">
        <v>69</v>
      </c>
      <c r="F10" s="29">
        <v>30.0</v>
      </c>
      <c r="G10" s="29">
        <v>5.0</v>
      </c>
      <c r="H10" s="31">
        <v>45566.0</v>
      </c>
      <c r="J10" s="20">
        <f t="shared" si="1"/>
        <v>375</v>
      </c>
    </row>
    <row r="11">
      <c r="B11" s="29">
        <v>1006.0</v>
      </c>
      <c r="C11" s="30" t="s">
        <v>70</v>
      </c>
      <c r="D11" s="30" t="s">
        <v>60</v>
      </c>
      <c r="E11" s="30" t="s">
        <v>58</v>
      </c>
      <c r="F11" s="29">
        <v>12.0</v>
      </c>
      <c r="G11" s="29">
        <v>50.0</v>
      </c>
      <c r="H11" s="31">
        <v>45597.0</v>
      </c>
      <c r="J11" s="20">
        <f t="shared" si="1"/>
        <v>250</v>
      </c>
    </row>
    <row r="12">
      <c r="B12" s="29">
        <v>1007.0</v>
      </c>
      <c r="C12" s="30" t="s">
        <v>71</v>
      </c>
      <c r="D12" s="30" t="s">
        <v>63</v>
      </c>
      <c r="E12" s="30" t="s">
        <v>72</v>
      </c>
      <c r="F12" s="29">
        <v>25.0</v>
      </c>
      <c r="G12" s="29">
        <v>8.0</v>
      </c>
      <c r="H12" s="29" t="s">
        <v>73</v>
      </c>
      <c r="J12" s="20">
        <f t="shared" si="1"/>
        <v>150</v>
      </c>
    </row>
    <row r="13">
      <c r="B13" s="29">
        <v>1008.0</v>
      </c>
      <c r="C13" s="30" t="s">
        <v>74</v>
      </c>
      <c r="D13" s="30" t="s">
        <v>67</v>
      </c>
      <c r="E13" s="30" t="s">
        <v>61</v>
      </c>
      <c r="F13" s="29">
        <v>18.0</v>
      </c>
      <c r="G13" s="29">
        <v>10.0</v>
      </c>
      <c r="H13" s="29" t="s">
        <v>75</v>
      </c>
      <c r="J13" s="20">
        <f t="shared" si="1"/>
        <v>600</v>
      </c>
    </row>
    <row r="14">
      <c r="B14" s="29">
        <v>1009.0</v>
      </c>
      <c r="C14" s="30" t="s">
        <v>76</v>
      </c>
      <c r="D14" s="30" t="s">
        <v>57</v>
      </c>
      <c r="E14" s="30" t="s">
        <v>64</v>
      </c>
      <c r="F14" s="29">
        <v>22.0</v>
      </c>
      <c r="G14" s="29">
        <v>25.0</v>
      </c>
      <c r="H14" s="29" t="s">
        <v>77</v>
      </c>
      <c r="J14" s="20">
        <f t="shared" si="1"/>
        <v>200</v>
      </c>
    </row>
    <row r="15">
      <c r="B15" s="29">
        <v>1010.0</v>
      </c>
      <c r="C15" s="30" t="s">
        <v>78</v>
      </c>
      <c r="D15" s="30" t="s">
        <v>60</v>
      </c>
      <c r="E15" s="30" t="s">
        <v>58</v>
      </c>
      <c r="F15" s="29">
        <v>8.0</v>
      </c>
      <c r="G15" s="29">
        <v>50.0</v>
      </c>
      <c r="H15" s="29" t="s">
        <v>79</v>
      </c>
      <c r="J15" s="20">
        <f t="shared" si="1"/>
        <v>180</v>
      </c>
    </row>
    <row r="16">
      <c r="B16" s="29">
        <v>1011.0</v>
      </c>
      <c r="C16" s="30" t="s">
        <v>80</v>
      </c>
      <c r="D16" s="30" t="s">
        <v>63</v>
      </c>
      <c r="E16" s="30" t="s">
        <v>69</v>
      </c>
      <c r="F16" s="29">
        <v>40.0</v>
      </c>
      <c r="G16" s="29">
        <v>5.0</v>
      </c>
      <c r="H16" s="29" t="s">
        <v>81</v>
      </c>
      <c r="J16" s="20">
        <f t="shared" si="1"/>
        <v>550</v>
      </c>
    </row>
    <row r="17">
      <c r="B17" s="29">
        <v>1012.0</v>
      </c>
      <c r="C17" s="30" t="s">
        <v>82</v>
      </c>
      <c r="D17" s="30" t="s">
        <v>67</v>
      </c>
      <c r="E17" s="30" t="s">
        <v>72</v>
      </c>
      <c r="F17" s="29">
        <v>35.0</v>
      </c>
      <c r="G17" s="29">
        <v>8.0</v>
      </c>
      <c r="H17" s="29" t="s">
        <v>83</v>
      </c>
      <c r="J17" s="20">
        <f t="shared" si="1"/>
        <v>400</v>
      </c>
    </row>
    <row r="18">
      <c r="B18" s="29">
        <v>1013.0</v>
      </c>
      <c r="C18" s="30" t="s">
        <v>84</v>
      </c>
      <c r="D18" s="30" t="s">
        <v>57</v>
      </c>
      <c r="E18" s="30" t="s">
        <v>58</v>
      </c>
      <c r="F18" s="29">
        <v>14.0</v>
      </c>
      <c r="G18" s="29">
        <v>50.0</v>
      </c>
      <c r="H18" s="29" t="s">
        <v>85</v>
      </c>
      <c r="J18" s="20">
        <f t="shared" si="1"/>
        <v>200</v>
      </c>
    </row>
    <row r="19">
      <c r="B19" s="29">
        <v>1014.0</v>
      </c>
      <c r="C19" s="30" t="s">
        <v>86</v>
      </c>
      <c r="D19" s="30" t="s">
        <v>60</v>
      </c>
      <c r="E19" s="30" t="s">
        <v>61</v>
      </c>
      <c r="F19" s="29">
        <v>28.0</v>
      </c>
      <c r="G19" s="29">
        <v>10.0</v>
      </c>
      <c r="H19" s="29" t="s">
        <v>87</v>
      </c>
      <c r="J19" s="20">
        <f t="shared" si="1"/>
        <v>280</v>
      </c>
    </row>
    <row r="20">
      <c r="B20" s="29">
        <v>1015.0</v>
      </c>
      <c r="C20" s="30" t="s">
        <v>88</v>
      </c>
      <c r="D20" s="30" t="s">
        <v>63</v>
      </c>
      <c r="E20" s="30" t="s">
        <v>64</v>
      </c>
      <c r="F20" s="29">
        <v>12.0</v>
      </c>
      <c r="G20" s="29">
        <v>25.0</v>
      </c>
      <c r="H20" s="29" t="s">
        <v>89</v>
      </c>
      <c r="J20" s="20">
        <f t="shared" si="1"/>
        <v>700</v>
      </c>
    </row>
    <row r="21">
      <c r="B21" s="29">
        <v>1016.0</v>
      </c>
      <c r="C21" s="30" t="s">
        <v>90</v>
      </c>
      <c r="D21" s="30" t="s">
        <v>67</v>
      </c>
      <c r="E21" s="30" t="s">
        <v>69</v>
      </c>
      <c r="F21" s="29">
        <v>25.0</v>
      </c>
      <c r="G21" s="29">
        <v>5.0</v>
      </c>
      <c r="H21" s="29" t="s">
        <v>91</v>
      </c>
      <c r="J21" s="20">
        <f t="shared" si="1"/>
        <v>280</v>
      </c>
    </row>
    <row r="22">
      <c r="B22" s="29">
        <v>1017.0</v>
      </c>
      <c r="C22" s="30" t="s">
        <v>92</v>
      </c>
      <c r="D22" s="30" t="s">
        <v>57</v>
      </c>
      <c r="E22" s="30" t="s">
        <v>72</v>
      </c>
      <c r="F22" s="29">
        <v>20.0</v>
      </c>
      <c r="G22" s="29">
        <v>8.0</v>
      </c>
      <c r="H22" s="29" t="s">
        <v>93</v>
      </c>
      <c r="J22" s="20">
        <f t="shared" si="1"/>
        <v>300</v>
      </c>
    </row>
    <row r="23">
      <c r="B23" s="29">
        <v>1018.0</v>
      </c>
      <c r="C23" s="30" t="s">
        <v>94</v>
      </c>
      <c r="D23" s="30" t="s">
        <v>60</v>
      </c>
      <c r="E23" s="30" t="s">
        <v>58</v>
      </c>
      <c r="F23" s="29">
        <v>10.0</v>
      </c>
      <c r="G23" s="29">
        <v>50.0</v>
      </c>
      <c r="H23" s="29" t="s">
        <v>95</v>
      </c>
      <c r="J23" s="20">
        <f t="shared" si="1"/>
        <v>125</v>
      </c>
    </row>
    <row r="24">
      <c r="B24" s="29">
        <v>1019.0</v>
      </c>
      <c r="C24" s="30" t="s">
        <v>96</v>
      </c>
      <c r="D24" s="30" t="s">
        <v>63</v>
      </c>
      <c r="E24" s="30" t="s">
        <v>61</v>
      </c>
      <c r="F24" s="29">
        <v>15.0</v>
      </c>
      <c r="G24" s="29">
        <v>10.0</v>
      </c>
      <c r="H24" s="29" t="s">
        <v>97</v>
      </c>
      <c r="J24" s="20">
        <f t="shared" si="1"/>
        <v>160</v>
      </c>
    </row>
    <row r="25">
      <c r="B25" s="29">
        <v>1020.0</v>
      </c>
      <c r="C25" s="30" t="s">
        <v>98</v>
      </c>
      <c r="D25" s="30" t="s">
        <v>67</v>
      </c>
      <c r="E25" s="30" t="s">
        <v>64</v>
      </c>
      <c r="F25" s="29">
        <v>18.0</v>
      </c>
      <c r="G25" s="29">
        <v>25.0</v>
      </c>
      <c r="H25" s="31">
        <v>45293.0</v>
      </c>
      <c r="J25" s="20">
        <f t="shared" si="1"/>
        <v>500</v>
      </c>
    </row>
    <row r="26">
      <c r="B26" s="29">
        <v>1021.0</v>
      </c>
      <c r="C26" s="30" t="s">
        <v>99</v>
      </c>
      <c r="D26" s="30" t="s">
        <v>57</v>
      </c>
      <c r="E26" s="30" t="s">
        <v>58</v>
      </c>
      <c r="F26" s="29">
        <v>9.0</v>
      </c>
      <c r="G26" s="29">
        <v>50.0</v>
      </c>
      <c r="H26" s="31">
        <v>45324.0</v>
      </c>
      <c r="J26" s="20">
        <f t="shared" si="1"/>
        <v>150</v>
      </c>
    </row>
    <row r="27">
      <c r="B27" s="29">
        <v>1022.0</v>
      </c>
      <c r="C27" s="30" t="s">
        <v>100</v>
      </c>
      <c r="D27" s="30" t="s">
        <v>60</v>
      </c>
      <c r="E27" s="30" t="s">
        <v>69</v>
      </c>
      <c r="F27" s="29">
        <v>35.0</v>
      </c>
      <c r="G27" s="29">
        <v>5.0</v>
      </c>
      <c r="H27" s="31">
        <v>45353.0</v>
      </c>
      <c r="J27" s="20">
        <f t="shared" si="1"/>
        <v>450</v>
      </c>
    </row>
    <row r="28">
      <c r="B28" s="29">
        <v>1023.0</v>
      </c>
      <c r="C28" s="30" t="s">
        <v>101</v>
      </c>
      <c r="D28" s="30" t="s">
        <v>63</v>
      </c>
      <c r="E28" s="30" t="s">
        <v>72</v>
      </c>
      <c r="F28" s="29">
        <v>30.0</v>
      </c>
      <c r="G28" s="29">
        <v>8.0</v>
      </c>
      <c r="H28" s="31">
        <v>45384.0</v>
      </c>
      <c r="J28" s="20">
        <f t="shared" si="1"/>
        <v>450</v>
      </c>
    </row>
    <row r="29">
      <c r="B29" s="29">
        <v>1024.0</v>
      </c>
      <c r="C29" s="30" t="s">
        <v>102</v>
      </c>
      <c r="D29" s="30" t="s">
        <v>67</v>
      </c>
      <c r="E29" s="30" t="s">
        <v>58</v>
      </c>
      <c r="F29" s="29">
        <v>11.0</v>
      </c>
      <c r="G29" s="29">
        <v>50.0</v>
      </c>
      <c r="H29" s="31">
        <v>45445.0</v>
      </c>
      <c r="J29" s="20">
        <f t="shared" si="1"/>
        <v>175</v>
      </c>
    </row>
    <row r="30">
      <c r="B30" s="29">
        <v>1025.0</v>
      </c>
      <c r="C30" s="30" t="s">
        <v>103</v>
      </c>
      <c r="D30" s="30" t="s">
        <v>57</v>
      </c>
      <c r="E30" s="30" t="s">
        <v>61</v>
      </c>
      <c r="F30" s="29">
        <v>14.0</v>
      </c>
      <c r="G30" s="29">
        <v>10.0</v>
      </c>
      <c r="H30" s="31">
        <v>45475.0</v>
      </c>
      <c r="J30" s="20">
        <f t="shared" si="1"/>
        <v>240</v>
      </c>
    </row>
    <row r="31">
      <c r="B31" s="29">
        <v>1026.0</v>
      </c>
      <c r="C31" s="30" t="s">
        <v>104</v>
      </c>
      <c r="D31" s="30" t="s">
        <v>60</v>
      </c>
      <c r="E31" s="30" t="s">
        <v>64</v>
      </c>
      <c r="F31" s="29">
        <v>16.0</v>
      </c>
      <c r="G31" s="29">
        <v>25.0</v>
      </c>
      <c r="H31" s="31">
        <v>45506.0</v>
      </c>
      <c r="J31" s="20">
        <f t="shared" si="1"/>
        <v>550</v>
      </c>
    </row>
    <row r="32">
      <c r="B32" s="29">
        <v>1027.0</v>
      </c>
      <c r="C32" s="30" t="s">
        <v>105</v>
      </c>
      <c r="D32" s="30" t="s">
        <v>63</v>
      </c>
      <c r="E32" s="30" t="s">
        <v>69</v>
      </c>
      <c r="F32" s="29">
        <v>22.0</v>
      </c>
      <c r="G32" s="29">
        <v>5.0</v>
      </c>
      <c r="H32" s="31">
        <v>45537.0</v>
      </c>
      <c r="J32" s="20">
        <f t="shared" si="1"/>
        <v>140</v>
      </c>
    </row>
    <row r="33">
      <c r="B33" s="29">
        <v>1028.0</v>
      </c>
      <c r="C33" s="30" t="s">
        <v>106</v>
      </c>
      <c r="D33" s="30" t="s">
        <v>67</v>
      </c>
      <c r="E33" s="30" t="s">
        <v>72</v>
      </c>
      <c r="F33" s="29">
        <v>27.0</v>
      </c>
      <c r="G33" s="29">
        <v>8.0</v>
      </c>
      <c r="H33" s="31">
        <v>45567.0</v>
      </c>
      <c r="J33" s="20">
        <f t="shared" si="1"/>
        <v>400</v>
      </c>
    </row>
    <row r="34">
      <c r="B34" s="29">
        <v>1029.0</v>
      </c>
      <c r="C34" s="30" t="s">
        <v>107</v>
      </c>
      <c r="D34" s="30" t="s">
        <v>57</v>
      </c>
      <c r="E34" s="30" t="s">
        <v>58</v>
      </c>
      <c r="F34" s="29">
        <v>13.0</v>
      </c>
      <c r="G34" s="29">
        <v>50.0</v>
      </c>
      <c r="H34" s="31">
        <v>45628.0</v>
      </c>
      <c r="J34" s="20">
        <f t="shared" si="1"/>
        <v>110</v>
      </c>
    </row>
    <row r="35">
      <c r="B35" s="29">
        <v>1030.0</v>
      </c>
      <c r="C35" s="30" t="s">
        <v>108</v>
      </c>
      <c r="D35" s="30" t="s">
        <v>60</v>
      </c>
      <c r="E35" s="30" t="s">
        <v>61</v>
      </c>
      <c r="F35" s="29">
        <v>32.0</v>
      </c>
      <c r="G35" s="29">
        <v>10.0</v>
      </c>
      <c r="H35" s="29" t="s">
        <v>109</v>
      </c>
      <c r="J35" s="20">
        <f t="shared" si="1"/>
        <v>216</v>
      </c>
    </row>
    <row r="36">
      <c r="B36" s="29">
        <v>1031.0</v>
      </c>
      <c r="C36" s="30" t="s">
        <v>110</v>
      </c>
      <c r="D36" s="30" t="s">
        <v>63</v>
      </c>
      <c r="E36" s="30" t="s">
        <v>64</v>
      </c>
      <c r="F36" s="29">
        <v>10.0</v>
      </c>
      <c r="G36" s="29">
        <v>25.0</v>
      </c>
      <c r="H36" s="29" t="s">
        <v>111</v>
      </c>
      <c r="J36" s="20">
        <f t="shared" si="1"/>
        <v>650</v>
      </c>
    </row>
    <row r="37">
      <c r="B37" s="29">
        <v>1032.0</v>
      </c>
      <c r="C37" s="30" t="s">
        <v>112</v>
      </c>
      <c r="D37" s="30" t="s">
        <v>67</v>
      </c>
      <c r="E37" s="30" t="s">
        <v>69</v>
      </c>
      <c r="F37" s="29">
        <v>18.0</v>
      </c>
      <c r="G37" s="29">
        <v>5.0</v>
      </c>
      <c r="H37" s="29" t="s">
        <v>113</v>
      </c>
      <c r="J37" s="20">
        <f t="shared" si="1"/>
        <v>320</v>
      </c>
    </row>
    <row r="38">
      <c r="B38" s="29">
        <v>1033.0</v>
      </c>
      <c r="C38" s="30" t="s">
        <v>114</v>
      </c>
      <c r="D38" s="30" t="s">
        <v>57</v>
      </c>
      <c r="E38" s="30" t="s">
        <v>72</v>
      </c>
      <c r="F38" s="29">
        <v>22.0</v>
      </c>
      <c r="G38" s="29">
        <v>8.0</v>
      </c>
      <c r="H38" s="29" t="s">
        <v>115</v>
      </c>
      <c r="J38" s="20">
        <f t="shared" si="1"/>
        <v>250</v>
      </c>
    </row>
    <row r="39">
      <c r="B39" s="29">
        <v>1034.0</v>
      </c>
      <c r="C39" s="30" t="s">
        <v>116</v>
      </c>
      <c r="D39" s="30" t="s">
        <v>60</v>
      </c>
      <c r="E39" s="30" t="s">
        <v>58</v>
      </c>
      <c r="F39" s="29">
        <v>17.0</v>
      </c>
      <c r="G39" s="29">
        <v>50.0</v>
      </c>
      <c r="H39" s="29" t="s">
        <v>117</v>
      </c>
      <c r="J39" s="20">
        <f t="shared" si="1"/>
        <v>90</v>
      </c>
    </row>
    <row r="40">
      <c r="B40" s="29">
        <v>1035.0</v>
      </c>
      <c r="C40" s="30" t="s">
        <v>118</v>
      </c>
      <c r="D40" s="30" t="s">
        <v>63</v>
      </c>
      <c r="E40" s="30" t="s">
        <v>61</v>
      </c>
      <c r="F40" s="29">
        <v>19.0</v>
      </c>
      <c r="G40" s="29">
        <v>10.0</v>
      </c>
      <c r="H40" s="29" t="s">
        <v>119</v>
      </c>
      <c r="J40" s="20">
        <f t="shared" si="1"/>
        <v>176</v>
      </c>
    </row>
    <row r="41">
      <c r="B41" s="29">
        <v>1036.0</v>
      </c>
      <c r="C41" s="30" t="s">
        <v>120</v>
      </c>
      <c r="D41" s="30" t="s">
        <v>67</v>
      </c>
      <c r="E41" s="30" t="s">
        <v>64</v>
      </c>
      <c r="F41" s="29">
        <v>15.0</v>
      </c>
      <c r="G41" s="29">
        <v>25.0</v>
      </c>
      <c r="H41" s="29" t="s">
        <v>121</v>
      </c>
      <c r="J41" s="20">
        <f t="shared" si="1"/>
        <v>850</v>
      </c>
    </row>
    <row r="42">
      <c r="B42" s="29">
        <v>1037.0</v>
      </c>
      <c r="C42" s="30" t="s">
        <v>122</v>
      </c>
      <c r="D42" s="30" t="s">
        <v>57</v>
      </c>
      <c r="E42" s="30" t="s">
        <v>69</v>
      </c>
      <c r="F42" s="29">
        <v>28.0</v>
      </c>
      <c r="G42" s="29">
        <v>5.0</v>
      </c>
      <c r="H42" s="29" t="s">
        <v>123</v>
      </c>
      <c r="J42" s="20">
        <f t="shared" si="1"/>
        <v>190</v>
      </c>
    </row>
    <row r="43">
      <c r="B43" s="29">
        <v>1038.0</v>
      </c>
      <c r="C43" s="30" t="s">
        <v>124</v>
      </c>
      <c r="D43" s="30" t="s">
        <v>60</v>
      </c>
      <c r="E43" s="30" t="s">
        <v>72</v>
      </c>
      <c r="F43" s="29">
        <v>24.0</v>
      </c>
      <c r="G43" s="29">
        <v>8.0</v>
      </c>
      <c r="H43" s="29" t="s">
        <v>125</v>
      </c>
      <c r="J43" s="20">
        <f t="shared" si="1"/>
        <v>375</v>
      </c>
    </row>
    <row r="44">
      <c r="B44" s="29">
        <v>1039.0</v>
      </c>
      <c r="C44" s="30" t="s">
        <v>126</v>
      </c>
      <c r="D44" s="30" t="s">
        <v>63</v>
      </c>
      <c r="E44" s="30" t="s">
        <v>58</v>
      </c>
      <c r="F44" s="29">
        <v>16.0</v>
      </c>
      <c r="G44" s="29">
        <v>50.0</v>
      </c>
      <c r="H44" s="29" t="s">
        <v>127</v>
      </c>
      <c r="J44" s="20">
        <f t="shared" si="1"/>
        <v>140</v>
      </c>
    </row>
    <row r="45">
      <c r="B45" s="29">
        <v>1040.0</v>
      </c>
      <c r="C45" s="30" t="s">
        <v>128</v>
      </c>
      <c r="D45" s="30" t="s">
        <v>67</v>
      </c>
      <c r="E45" s="30" t="s">
        <v>61</v>
      </c>
      <c r="F45" s="29">
        <v>27.0</v>
      </c>
      <c r="G45" s="29">
        <v>10.0</v>
      </c>
      <c r="H45" s="29" t="s">
        <v>129</v>
      </c>
      <c r="J45" s="20">
        <f t="shared" si="1"/>
        <v>192</v>
      </c>
    </row>
    <row r="46">
      <c r="B46" s="29">
        <v>1041.0</v>
      </c>
      <c r="C46" s="30" t="s">
        <v>130</v>
      </c>
      <c r="D46" s="30" t="s">
        <v>57</v>
      </c>
      <c r="E46" s="30" t="s">
        <v>64</v>
      </c>
      <c r="F46" s="29">
        <v>21.0</v>
      </c>
      <c r="G46" s="29">
        <v>25.0</v>
      </c>
      <c r="H46" s="29" t="s">
        <v>131</v>
      </c>
      <c r="J46" s="20">
        <f t="shared" si="1"/>
        <v>800</v>
      </c>
    </row>
    <row r="47">
      <c r="B47" s="29">
        <v>1042.0</v>
      </c>
      <c r="C47" s="30" t="s">
        <v>132</v>
      </c>
      <c r="D47" s="30" t="s">
        <v>60</v>
      </c>
      <c r="E47" s="30" t="s">
        <v>69</v>
      </c>
      <c r="F47" s="29">
        <v>30.0</v>
      </c>
      <c r="G47" s="29">
        <v>5.0</v>
      </c>
      <c r="H47" s="29" t="s">
        <v>133</v>
      </c>
      <c r="J47" s="20">
        <f t="shared" si="1"/>
        <v>270</v>
      </c>
    </row>
    <row r="48">
      <c r="B48" s="29">
        <v>1043.0</v>
      </c>
      <c r="C48" s="30" t="s">
        <v>134</v>
      </c>
      <c r="D48" s="30" t="s">
        <v>63</v>
      </c>
      <c r="E48" s="30" t="s">
        <v>72</v>
      </c>
      <c r="F48" s="29">
        <v>26.0</v>
      </c>
      <c r="G48" s="29">
        <v>8.0</v>
      </c>
      <c r="H48" s="31">
        <v>45294.0</v>
      </c>
      <c r="J48" s="20">
        <f t="shared" si="1"/>
        <v>525</v>
      </c>
    </row>
    <row r="49">
      <c r="B49" s="29">
        <v>1044.0</v>
      </c>
      <c r="C49" s="30" t="s">
        <v>135</v>
      </c>
      <c r="D49" s="30" t="s">
        <v>67</v>
      </c>
      <c r="E49" s="30" t="s">
        <v>58</v>
      </c>
      <c r="F49" s="29">
        <v>14.0</v>
      </c>
      <c r="G49" s="29">
        <v>50.0</v>
      </c>
      <c r="H49" s="31">
        <v>45325.0</v>
      </c>
      <c r="J49" s="20">
        <f t="shared" si="1"/>
        <v>150</v>
      </c>
    </row>
    <row r="50">
      <c r="B50" s="29">
        <v>1045.0</v>
      </c>
      <c r="C50" s="30" t="s">
        <v>136</v>
      </c>
      <c r="D50" s="30" t="s">
        <v>57</v>
      </c>
      <c r="E50" s="30" t="s">
        <v>61</v>
      </c>
      <c r="F50" s="29">
        <v>20.0</v>
      </c>
      <c r="G50" s="29">
        <v>10.0</v>
      </c>
      <c r="H50" s="31">
        <v>45354.0</v>
      </c>
      <c r="J50" s="20">
        <f t="shared" si="1"/>
        <v>208</v>
      </c>
    </row>
    <row r="51">
      <c r="B51" s="29">
        <v>1046.0</v>
      </c>
      <c r="C51" s="30" t="s">
        <v>137</v>
      </c>
      <c r="D51" s="30" t="s">
        <v>60</v>
      </c>
      <c r="E51" s="30" t="s">
        <v>64</v>
      </c>
      <c r="F51" s="29">
        <v>17.0</v>
      </c>
      <c r="G51" s="29">
        <v>25.0</v>
      </c>
      <c r="H51" s="31">
        <v>45385.0</v>
      </c>
      <c r="J51" s="20">
        <f t="shared" si="1"/>
        <v>700</v>
      </c>
    </row>
    <row r="52">
      <c r="B52" s="29">
        <v>1047.0</v>
      </c>
      <c r="C52" s="30" t="s">
        <v>138</v>
      </c>
      <c r="D52" s="30" t="s">
        <v>63</v>
      </c>
      <c r="E52" s="30" t="s">
        <v>69</v>
      </c>
      <c r="F52" s="29">
        <v>19.0</v>
      </c>
      <c r="G52" s="29">
        <v>5.0</v>
      </c>
      <c r="H52" s="31">
        <v>45415.0</v>
      </c>
      <c r="J52" s="20">
        <f t="shared" si="1"/>
        <v>200</v>
      </c>
    </row>
    <row r="53">
      <c r="B53" s="29">
        <v>1048.0</v>
      </c>
      <c r="C53" s="30" t="s">
        <v>139</v>
      </c>
      <c r="D53" s="30" t="s">
        <v>67</v>
      </c>
      <c r="E53" s="30" t="s">
        <v>72</v>
      </c>
      <c r="F53" s="29">
        <v>32.0</v>
      </c>
      <c r="G53" s="29">
        <v>8.0</v>
      </c>
      <c r="H53" s="31">
        <v>45446.0</v>
      </c>
      <c r="J53" s="20">
        <f t="shared" si="1"/>
        <v>425</v>
      </c>
    </row>
    <row r="54">
      <c r="B54" s="29">
        <v>1049.0</v>
      </c>
      <c r="C54" s="30" t="s">
        <v>140</v>
      </c>
      <c r="D54" s="30" t="s">
        <v>57</v>
      </c>
      <c r="E54" s="30" t="s">
        <v>58</v>
      </c>
      <c r="F54" s="29">
        <v>12.0</v>
      </c>
      <c r="G54" s="29">
        <v>50.0</v>
      </c>
      <c r="H54" s="31">
        <v>45476.0</v>
      </c>
      <c r="J54" s="20">
        <f t="shared" si="1"/>
        <v>95</v>
      </c>
    </row>
    <row r="55">
      <c r="B55" s="29">
        <v>1050.0</v>
      </c>
      <c r="C55" s="30" t="s">
        <v>141</v>
      </c>
      <c r="D55" s="30" t="s">
        <v>60</v>
      </c>
      <c r="E55" s="30" t="s">
        <v>61</v>
      </c>
      <c r="F55" s="29">
        <v>25.0</v>
      </c>
      <c r="G55" s="29">
        <v>10.0</v>
      </c>
      <c r="H55" s="31">
        <v>45507.0</v>
      </c>
      <c r="J55" s="20">
        <f t="shared" si="1"/>
        <v>256</v>
      </c>
    </row>
    <row r="56">
      <c r="J56" s="20">
        <f t="shared" si="1"/>
        <v>600</v>
      </c>
    </row>
    <row r="57">
      <c r="J57" s="20">
        <f t="shared" si="1"/>
        <v>250</v>
      </c>
    </row>
  </sheetData>
  <mergeCells count="1">
    <mergeCell ref="B3:K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7.38"/>
    <col customWidth="1" min="6" max="6" width="13.5"/>
    <col customWidth="1" min="7" max="7" width="12.75"/>
  </cols>
  <sheetData>
    <row r="2">
      <c r="M2" s="33" t="s">
        <v>144</v>
      </c>
    </row>
    <row r="3">
      <c r="A3" s="34" t="s">
        <v>144</v>
      </c>
    </row>
    <row r="4">
      <c r="N4" s="28" t="s">
        <v>49</v>
      </c>
      <c r="O4" s="28" t="s">
        <v>50</v>
      </c>
      <c r="P4" s="28" t="s">
        <v>51</v>
      </c>
      <c r="Q4" s="28" t="s">
        <v>52</v>
      </c>
      <c r="R4" s="28" t="s">
        <v>53</v>
      </c>
      <c r="S4" s="28" t="s">
        <v>54</v>
      </c>
      <c r="T4" s="35" t="s">
        <v>145</v>
      </c>
    </row>
    <row r="5">
      <c r="A5" s="7" t="s">
        <v>146</v>
      </c>
      <c r="B5" s="36"/>
      <c r="C5" s="36"/>
      <c r="D5" s="36"/>
      <c r="E5" s="36"/>
      <c r="F5" s="36"/>
      <c r="G5" s="36"/>
      <c r="N5" s="30" t="s">
        <v>56</v>
      </c>
      <c r="O5" s="30" t="s">
        <v>57</v>
      </c>
      <c r="P5" s="30" t="s">
        <v>58</v>
      </c>
      <c r="Q5" s="29">
        <v>10.0</v>
      </c>
      <c r="R5" s="29">
        <v>50.0</v>
      </c>
      <c r="S5" s="31">
        <v>45413.0</v>
      </c>
      <c r="T5" s="37">
        <v>500.0</v>
      </c>
      <c r="V5" s="3" t="s">
        <v>147</v>
      </c>
    </row>
    <row r="6">
      <c r="A6" s="7" t="s">
        <v>146</v>
      </c>
      <c r="B6" s="36"/>
      <c r="C6" s="36"/>
      <c r="D6" s="36"/>
      <c r="E6" s="36"/>
      <c r="F6" s="36"/>
      <c r="G6" s="36"/>
      <c r="I6" s="3" t="s">
        <v>148</v>
      </c>
      <c r="N6" s="30" t="s">
        <v>59</v>
      </c>
      <c r="O6" s="30" t="s">
        <v>60</v>
      </c>
      <c r="P6" s="30" t="s">
        <v>61</v>
      </c>
      <c r="Q6" s="29">
        <v>20.0</v>
      </c>
      <c r="R6" s="29">
        <v>10.0</v>
      </c>
      <c r="S6" s="31">
        <v>45444.0</v>
      </c>
      <c r="T6" s="37">
        <v>200.0</v>
      </c>
      <c r="V6" s="38">
        <f>SUMIFS($T$5:$T$54,$P$5:$P$54,$P5,$O$5:$O$54,$O5)</f>
        <v>2900</v>
      </c>
    </row>
    <row r="7">
      <c r="A7" s="36"/>
      <c r="B7" s="36"/>
      <c r="C7" s="36"/>
      <c r="D7" s="36"/>
      <c r="E7" s="36"/>
      <c r="F7" s="36"/>
      <c r="G7" s="36"/>
      <c r="N7" s="30" t="s">
        <v>62</v>
      </c>
      <c r="O7" s="30" t="s">
        <v>63</v>
      </c>
      <c r="P7" s="30" t="s">
        <v>64</v>
      </c>
      <c r="Q7" s="29">
        <v>15.0</v>
      </c>
      <c r="R7" s="29">
        <v>25.0</v>
      </c>
      <c r="S7" s="31">
        <v>45474.0</v>
      </c>
      <c r="T7" s="37">
        <v>375.0</v>
      </c>
    </row>
    <row r="8">
      <c r="A8" s="28" t="s">
        <v>48</v>
      </c>
      <c r="B8" s="28" t="s">
        <v>49</v>
      </c>
      <c r="C8" s="28" t="s">
        <v>50</v>
      </c>
      <c r="D8" s="28" t="s">
        <v>51</v>
      </c>
      <c r="E8" s="28" t="s">
        <v>52</v>
      </c>
      <c r="F8" s="28" t="s">
        <v>53</v>
      </c>
      <c r="G8" s="28" t="s">
        <v>54</v>
      </c>
      <c r="H8" s="35" t="s">
        <v>145</v>
      </c>
      <c r="I8" s="4">
        <f t="shared" ref="I8:I58" si="1">SUMIFS($H$9:$H$58,$D$9:$D$58,$D9,$C$9:$C$58,$C9)</f>
        <v>2900</v>
      </c>
      <c r="N8" s="30" t="s">
        <v>66</v>
      </c>
      <c r="O8" s="30" t="s">
        <v>67</v>
      </c>
      <c r="P8" s="30" t="s">
        <v>58</v>
      </c>
      <c r="Q8" s="29">
        <v>5.0</v>
      </c>
      <c r="R8" s="29">
        <v>50.0</v>
      </c>
      <c r="S8" s="31">
        <v>45505.0</v>
      </c>
      <c r="T8" s="37">
        <v>250.0</v>
      </c>
    </row>
    <row r="9">
      <c r="A9" s="29">
        <v>1001.0</v>
      </c>
      <c r="B9" s="30" t="s">
        <v>56</v>
      </c>
      <c r="C9" s="30" t="s">
        <v>57</v>
      </c>
      <c r="D9" s="30" t="s">
        <v>58</v>
      </c>
      <c r="E9" s="29">
        <v>10.0</v>
      </c>
      <c r="F9" s="29">
        <v>50.0</v>
      </c>
      <c r="G9" s="31">
        <v>45413.0</v>
      </c>
      <c r="H9" s="37">
        <v>500.0</v>
      </c>
      <c r="I9" s="39">
        <f t="shared" si="1"/>
        <v>1050</v>
      </c>
      <c r="K9" s="7" t="s">
        <v>146</v>
      </c>
      <c r="N9" s="30" t="s">
        <v>68</v>
      </c>
      <c r="O9" s="30" t="s">
        <v>57</v>
      </c>
      <c r="P9" s="30" t="s">
        <v>69</v>
      </c>
      <c r="Q9" s="29">
        <v>30.0</v>
      </c>
      <c r="R9" s="29">
        <v>5.0</v>
      </c>
      <c r="S9" s="31">
        <v>45566.0</v>
      </c>
      <c r="T9" s="37">
        <v>150.0</v>
      </c>
    </row>
    <row r="10">
      <c r="A10" s="29">
        <v>1002.0</v>
      </c>
      <c r="B10" s="30" t="s">
        <v>59</v>
      </c>
      <c r="C10" s="30" t="s">
        <v>60</v>
      </c>
      <c r="D10" s="30" t="s">
        <v>61</v>
      </c>
      <c r="E10" s="29">
        <v>20.0</v>
      </c>
      <c r="F10" s="29">
        <v>10.0</v>
      </c>
      <c r="G10" s="31">
        <v>45444.0</v>
      </c>
      <c r="H10" s="37">
        <v>200.0</v>
      </c>
      <c r="I10" s="39">
        <f t="shared" si="1"/>
        <v>925</v>
      </c>
      <c r="N10" s="30" t="s">
        <v>70</v>
      </c>
      <c r="O10" s="30" t="s">
        <v>60</v>
      </c>
      <c r="P10" s="30" t="s">
        <v>58</v>
      </c>
      <c r="Q10" s="29">
        <v>12.0</v>
      </c>
      <c r="R10" s="29">
        <v>50.0</v>
      </c>
      <c r="S10" s="31">
        <v>45597.0</v>
      </c>
      <c r="T10" s="37">
        <v>600.0</v>
      </c>
    </row>
    <row r="11">
      <c r="A11" s="29">
        <v>1003.0</v>
      </c>
      <c r="B11" s="30" t="s">
        <v>62</v>
      </c>
      <c r="C11" s="30" t="s">
        <v>63</v>
      </c>
      <c r="D11" s="30" t="s">
        <v>64</v>
      </c>
      <c r="E11" s="29">
        <v>15.0</v>
      </c>
      <c r="F11" s="29">
        <v>25.0</v>
      </c>
      <c r="G11" s="31">
        <v>45474.0</v>
      </c>
      <c r="H11" s="37">
        <v>375.0</v>
      </c>
      <c r="I11" s="39">
        <f t="shared" si="1"/>
        <v>1500</v>
      </c>
      <c r="J11" s="5" t="s">
        <v>149</v>
      </c>
      <c r="K11" s="4"/>
      <c r="N11" s="30" t="s">
        <v>71</v>
      </c>
      <c r="O11" s="30" t="s">
        <v>63</v>
      </c>
      <c r="P11" s="30" t="s">
        <v>72</v>
      </c>
      <c r="Q11" s="29">
        <v>25.0</v>
      </c>
      <c r="R11" s="29">
        <v>8.0</v>
      </c>
      <c r="S11" s="29" t="s">
        <v>73</v>
      </c>
      <c r="T11" s="37">
        <v>200.0</v>
      </c>
    </row>
    <row r="12">
      <c r="A12" s="29">
        <v>1004.0</v>
      </c>
      <c r="B12" s="30" t="s">
        <v>66</v>
      </c>
      <c r="C12" s="30" t="s">
        <v>67</v>
      </c>
      <c r="D12" s="30" t="s">
        <v>58</v>
      </c>
      <c r="E12" s="29">
        <v>5.0</v>
      </c>
      <c r="F12" s="29">
        <v>50.0</v>
      </c>
      <c r="G12" s="31">
        <v>45505.0</v>
      </c>
      <c r="H12" s="37">
        <v>250.0</v>
      </c>
      <c r="I12" s="39">
        <f t="shared" si="1"/>
        <v>290</v>
      </c>
      <c r="N12" s="30" t="s">
        <v>74</v>
      </c>
      <c r="O12" s="30" t="s">
        <v>67</v>
      </c>
      <c r="P12" s="30" t="s">
        <v>61</v>
      </c>
      <c r="Q12" s="29">
        <v>18.0</v>
      </c>
      <c r="R12" s="29">
        <v>10.0</v>
      </c>
      <c r="S12" s="29" t="s">
        <v>75</v>
      </c>
      <c r="T12" s="37">
        <v>180.0</v>
      </c>
    </row>
    <row r="13">
      <c r="A13" s="29">
        <v>1005.0</v>
      </c>
      <c r="B13" s="30" t="s">
        <v>68</v>
      </c>
      <c r="C13" s="30" t="s">
        <v>57</v>
      </c>
      <c r="D13" s="30" t="s">
        <v>69</v>
      </c>
      <c r="E13" s="29">
        <v>30.0</v>
      </c>
      <c r="F13" s="29">
        <v>5.0</v>
      </c>
      <c r="G13" s="31">
        <v>45566.0</v>
      </c>
      <c r="H13" s="37">
        <v>150.0</v>
      </c>
      <c r="I13" s="39">
        <f t="shared" si="1"/>
        <v>2350</v>
      </c>
      <c r="N13" s="30" t="s">
        <v>76</v>
      </c>
      <c r="O13" s="30" t="s">
        <v>57</v>
      </c>
      <c r="P13" s="30" t="s">
        <v>64</v>
      </c>
      <c r="Q13" s="29">
        <v>22.0</v>
      </c>
      <c r="R13" s="29">
        <v>25.0</v>
      </c>
      <c r="S13" s="29" t="s">
        <v>77</v>
      </c>
      <c r="T13" s="37">
        <v>550.0</v>
      </c>
    </row>
    <row r="14">
      <c r="A14" s="29">
        <v>1006.0</v>
      </c>
      <c r="B14" s="30" t="s">
        <v>70</v>
      </c>
      <c r="C14" s="30" t="s">
        <v>60</v>
      </c>
      <c r="D14" s="30" t="s">
        <v>58</v>
      </c>
      <c r="E14" s="29">
        <v>12.0</v>
      </c>
      <c r="F14" s="29">
        <v>50.0</v>
      </c>
      <c r="G14" s="31">
        <v>45597.0</v>
      </c>
      <c r="H14" s="37">
        <v>600.0</v>
      </c>
      <c r="I14" s="39">
        <f t="shared" si="1"/>
        <v>648</v>
      </c>
      <c r="N14" s="30" t="s">
        <v>78</v>
      </c>
      <c r="O14" s="30" t="s">
        <v>60</v>
      </c>
      <c r="P14" s="30" t="s">
        <v>58</v>
      </c>
      <c r="Q14" s="29">
        <v>8.0</v>
      </c>
      <c r="R14" s="29">
        <v>50.0</v>
      </c>
      <c r="S14" s="29" t="s">
        <v>79</v>
      </c>
      <c r="T14" s="37">
        <v>400.0</v>
      </c>
    </row>
    <row r="15">
      <c r="A15" s="29">
        <v>1007.0</v>
      </c>
      <c r="B15" s="30" t="s">
        <v>71</v>
      </c>
      <c r="C15" s="30" t="s">
        <v>63</v>
      </c>
      <c r="D15" s="30" t="s">
        <v>72</v>
      </c>
      <c r="E15" s="29">
        <v>25.0</v>
      </c>
      <c r="F15" s="29">
        <v>8.0</v>
      </c>
      <c r="G15" s="29" t="s">
        <v>73</v>
      </c>
      <c r="H15" s="37">
        <v>200.0</v>
      </c>
      <c r="I15" s="39">
        <f t="shared" si="1"/>
        <v>450</v>
      </c>
      <c r="N15" s="30" t="s">
        <v>80</v>
      </c>
      <c r="O15" s="30" t="s">
        <v>63</v>
      </c>
      <c r="P15" s="30" t="s">
        <v>69</v>
      </c>
      <c r="Q15" s="29">
        <v>40.0</v>
      </c>
      <c r="R15" s="29">
        <v>5.0</v>
      </c>
      <c r="S15" s="29" t="s">
        <v>81</v>
      </c>
      <c r="T15" s="37">
        <v>200.0</v>
      </c>
    </row>
    <row r="16">
      <c r="A16" s="29">
        <v>1008.0</v>
      </c>
      <c r="B16" s="30" t="s">
        <v>74</v>
      </c>
      <c r="C16" s="30" t="s">
        <v>67</v>
      </c>
      <c r="D16" s="30" t="s">
        <v>61</v>
      </c>
      <c r="E16" s="29">
        <v>18.0</v>
      </c>
      <c r="F16" s="29">
        <v>10.0</v>
      </c>
      <c r="G16" s="29" t="s">
        <v>75</v>
      </c>
      <c r="H16" s="37">
        <v>180.0</v>
      </c>
      <c r="I16" s="39">
        <f t="shared" si="1"/>
        <v>1075</v>
      </c>
      <c r="N16" s="30" t="s">
        <v>82</v>
      </c>
      <c r="O16" s="30" t="s">
        <v>67</v>
      </c>
      <c r="P16" s="30" t="s">
        <v>72</v>
      </c>
      <c r="Q16" s="29">
        <v>35.0</v>
      </c>
      <c r="R16" s="29">
        <v>8.0</v>
      </c>
      <c r="S16" s="29" t="s">
        <v>83</v>
      </c>
      <c r="T16" s="37">
        <v>280.0</v>
      </c>
    </row>
    <row r="17">
      <c r="A17" s="29">
        <v>1009.0</v>
      </c>
      <c r="B17" s="30" t="s">
        <v>76</v>
      </c>
      <c r="C17" s="30" t="s">
        <v>57</v>
      </c>
      <c r="D17" s="30" t="s">
        <v>64</v>
      </c>
      <c r="E17" s="29">
        <v>22.0</v>
      </c>
      <c r="F17" s="29">
        <v>25.0</v>
      </c>
      <c r="G17" s="29" t="s">
        <v>77</v>
      </c>
      <c r="H17" s="37">
        <v>550.0</v>
      </c>
      <c r="I17" s="39">
        <f t="shared" si="1"/>
        <v>2350</v>
      </c>
      <c r="N17" s="30" t="s">
        <v>84</v>
      </c>
      <c r="O17" s="30" t="s">
        <v>57</v>
      </c>
      <c r="P17" s="30" t="s">
        <v>58</v>
      </c>
      <c r="Q17" s="29">
        <v>14.0</v>
      </c>
      <c r="R17" s="29">
        <v>50.0</v>
      </c>
      <c r="S17" s="29" t="s">
        <v>85</v>
      </c>
      <c r="T17" s="37">
        <v>700.0</v>
      </c>
    </row>
    <row r="18">
      <c r="A18" s="29">
        <v>1010.0</v>
      </c>
      <c r="B18" s="30" t="s">
        <v>78</v>
      </c>
      <c r="C18" s="30" t="s">
        <v>60</v>
      </c>
      <c r="D18" s="30" t="s">
        <v>58</v>
      </c>
      <c r="E18" s="29">
        <v>8.0</v>
      </c>
      <c r="F18" s="29">
        <v>50.0</v>
      </c>
      <c r="G18" s="29" t="s">
        <v>79</v>
      </c>
      <c r="H18" s="37">
        <v>400.0</v>
      </c>
      <c r="I18" s="39">
        <f t="shared" si="1"/>
        <v>405</v>
      </c>
      <c r="N18" s="30" t="s">
        <v>86</v>
      </c>
      <c r="O18" s="30" t="s">
        <v>60</v>
      </c>
      <c r="P18" s="30" t="s">
        <v>61</v>
      </c>
      <c r="Q18" s="29">
        <v>28.0</v>
      </c>
      <c r="R18" s="29">
        <v>10.0</v>
      </c>
      <c r="S18" s="29" t="s">
        <v>87</v>
      </c>
      <c r="T18" s="37">
        <v>280.0</v>
      </c>
    </row>
    <row r="19">
      <c r="A19" s="29">
        <v>1011.0</v>
      </c>
      <c r="B19" s="30" t="s">
        <v>80</v>
      </c>
      <c r="C19" s="30" t="s">
        <v>63</v>
      </c>
      <c r="D19" s="30" t="s">
        <v>69</v>
      </c>
      <c r="E19" s="29">
        <v>40.0</v>
      </c>
      <c r="F19" s="29">
        <v>5.0</v>
      </c>
      <c r="G19" s="29" t="s">
        <v>81</v>
      </c>
      <c r="H19" s="37">
        <v>200.0</v>
      </c>
      <c r="I19" s="39">
        <f t="shared" si="1"/>
        <v>752</v>
      </c>
      <c r="N19" s="30" t="s">
        <v>88</v>
      </c>
      <c r="O19" s="30" t="s">
        <v>63</v>
      </c>
      <c r="P19" s="30" t="s">
        <v>64</v>
      </c>
      <c r="Q19" s="29">
        <v>12.0</v>
      </c>
      <c r="R19" s="29">
        <v>25.0</v>
      </c>
      <c r="S19" s="29" t="s">
        <v>89</v>
      </c>
      <c r="T19" s="37">
        <v>300.0</v>
      </c>
    </row>
    <row r="20">
      <c r="A20" s="29">
        <v>1012.0</v>
      </c>
      <c r="B20" s="30" t="s">
        <v>82</v>
      </c>
      <c r="C20" s="30" t="s">
        <v>67</v>
      </c>
      <c r="D20" s="30" t="s">
        <v>72</v>
      </c>
      <c r="E20" s="29">
        <v>35.0</v>
      </c>
      <c r="F20" s="29">
        <v>8.0</v>
      </c>
      <c r="G20" s="29" t="s">
        <v>83</v>
      </c>
      <c r="H20" s="37">
        <v>280.0</v>
      </c>
      <c r="I20" s="39">
        <f t="shared" si="1"/>
        <v>2900</v>
      </c>
      <c r="N20" s="30" t="s">
        <v>90</v>
      </c>
      <c r="O20" s="30" t="s">
        <v>67</v>
      </c>
      <c r="P20" s="30" t="s">
        <v>69</v>
      </c>
      <c r="Q20" s="29">
        <v>25.0</v>
      </c>
      <c r="R20" s="29">
        <v>5.0</v>
      </c>
      <c r="S20" s="29" t="s">
        <v>91</v>
      </c>
      <c r="T20" s="37">
        <v>125.0</v>
      </c>
    </row>
    <row r="21">
      <c r="A21" s="29">
        <v>1013.0</v>
      </c>
      <c r="B21" s="30" t="s">
        <v>84</v>
      </c>
      <c r="C21" s="30" t="s">
        <v>57</v>
      </c>
      <c r="D21" s="30" t="s">
        <v>58</v>
      </c>
      <c r="E21" s="29">
        <v>14.0</v>
      </c>
      <c r="F21" s="29">
        <v>50.0</v>
      </c>
      <c r="G21" s="29" t="s">
        <v>85</v>
      </c>
      <c r="H21" s="37">
        <v>700.0</v>
      </c>
      <c r="I21" s="39">
        <f t="shared" si="1"/>
        <v>1050</v>
      </c>
      <c r="N21" s="30" t="s">
        <v>92</v>
      </c>
      <c r="O21" s="30" t="s">
        <v>57</v>
      </c>
      <c r="P21" s="30" t="s">
        <v>72</v>
      </c>
      <c r="Q21" s="29">
        <v>20.0</v>
      </c>
      <c r="R21" s="29">
        <v>8.0</v>
      </c>
      <c r="S21" s="29" t="s">
        <v>93</v>
      </c>
      <c r="T21" s="37">
        <v>160.0</v>
      </c>
    </row>
    <row r="22">
      <c r="A22" s="29">
        <v>1014.0</v>
      </c>
      <c r="B22" s="30" t="s">
        <v>86</v>
      </c>
      <c r="C22" s="30" t="s">
        <v>60</v>
      </c>
      <c r="D22" s="30" t="s">
        <v>61</v>
      </c>
      <c r="E22" s="29">
        <v>28.0</v>
      </c>
      <c r="F22" s="29">
        <v>10.0</v>
      </c>
      <c r="G22" s="29" t="s">
        <v>87</v>
      </c>
      <c r="H22" s="37">
        <v>280.0</v>
      </c>
      <c r="I22" s="39">
        <f t="shared" si="1"/>
        <v>925</v>
      </c>
      <c r="N22" s="30" t="s">
        <v>94</v>
      </c>
      <c r="O22" s="30" t="s">
        <v>60</v>
      </c>
      <c r="P22" s="30" t="s">
        <v>58</v>
      </c>
      <c r="Q22" s="29">
        <v>10.0</v>
      </c>
      <c r="R22" s="29">
        <v>50.0</v>
      </c>
      <c r="S22" s="29" t="s">
        <v>95</v>
      </c>
      <c r="T22" s="37">
        <v>500.0</v>
      </c>
    </row>
    <row r="23">
      <c r="A23" s="29">
        <v>1015.0</v>
      </c>
      <c r="B23" s="30" t="s">
        <v>88</v>
      </c>
      <c r="C23" s="30" t="s">
        <v>63</v>
      </c>
      <c r="D23" s="30" t="s">
        <v>64</v>
      </c>
      <c r="E23" s="29">
        <v>12.0</v>
      </c>
      <c r="F23" s="29">
        <v>25.0</v>
      </c>
      <c r="G23" s="29" t="s">
        <v>89</v>
      </c>
      <c r="H23" s="37">
        <v>300.0</v>
      </c>
      <c r="I23" s="39">
        <f t="shared" si="1"/>
        <v>215</v>
      </c>
      <c r="N23" s="30" t="s">
        <v>96</v>
      </c>
      <c r="O23" s="30" t="s">
        <v>63</v>
      </c>
      <c r="P23" s="30" t="s">
        <v>61</v>
      </c>
      <c r="Q23" s="29">
        <v>15.0</v>
      </c>
      <c r="R23" s="29">
        <v>10.0</v>
      </c>
      <c r="S23" s="29" t="s">
        <v>97</v>
      </c>
      <c r="T23" s="37">
        <v>150.0</v>
      </c>
    </row>
    <row r="24">
      <c r="A24" s="29">
        <v>1016.0</v>
      </c>
      <c r="B24" s="30" t="s">
        <v>90</v>
      </c>
      <c r="C24" s="30" t="s">
        <v>67</v>
      </c>
      <c r="D24" s="30" t="s">
        <v>69</v>
      </c>
      <c r="E24" s="29">
        <v>25.0</v>
      </c>
      <c r="F24" s="29">
        <v>5.0</v>
      </c>
      <c r="G24" s="29" t="s">
        <v>91</v>
      </c>
      <c r="H24" s="37">
        <v>125.0</v>
      </c>
      <c r="I24" s="39">
        <f t="shared" si="1"/>
        <v>336</v>
      </c>
      <c r="N24" s="30" t="s">
        <v>98</v>
      </c>
      <c r="O24" s="30" t="s">
        <v>67</v>
      </c>
      <c r="P24" s="30" t="s">
        <v>64</v>
      </c>
      <c r="Q24" s="29">
        <v>18.0</v>
      </c>
      <c r="R24" s="29">
        <v>25.0</v>
      </c>
      <c r="S24" s="31">
        <v>45293.0</v>
      </c>
      <c r="T24" s="37">
        <v>450.0</v>
      </c>
    </row>
    <row r="25">
      <c r="A25" s="29">
        <v>1017.0</v>
      </c>
      <c r="B25" s="30" t="s">
        <v>92</v>
      </c>
      <c r="C25" s="30" t="s">
        <v>57</v>
      </c>
      <c r="D25" s="30" t="s">
        <v>72</v>
      </c>
      <c r="E25" s="29">
        <v>20.0</v>
      </c>
      <c r="F25" s="29">
        <v>8.0</v>
      </c>
      <c r="G25" s="29" t="s">
        <v>93</v>
      </c>
      <c r="H25" s="37">
        <v>160.0</v>
      </c>
      <c r="I25" s="39">
        <f t="shared" si="1"/>
        <v>2350</v>
      </c>
      <c r="N25" s="30" t="s">
        <v>99</v>
      </c>
      <c r="O25" s="30" t="s">
        <v>57</v>
      </c>
      <c r="P25" s="30" t="s">
        <v>58</v>
      </c>
      <c r="Q25" s="29">
        <v>9.0</v>
      </c>
      <c r="R25" s="29">
        <v>50.0</v>
      </c>
      <c r="S25" s="31">
        <v>45324.0</v>
      </c>
      <c r="T25" s="37">
        <v>450.0</v>
      </c>
    </row>
    <row r="26">
      <c r="A26" s="29">
        <v>1018.0</v>
      </c>
      <c r="B26" s="30" t="s">
        <v>94</v>
      </c>
      <c r="C26" s="30" t="s">
        <v>60</v>
      </c>
      <c r="D26" s="30" t="s">
        <v>58</v>
      </c>
      <c r="E26" s="29">
        <v>10.0</v>
      </c>
      <c r="F26" s="29">
        <v>50.0</v>
      </c>
      <c r="G26" s="29" t="s">
        <v>95</v>
      </c>
      <c r="H26" s="37">
        <v>500.0</v>
      </c>
      <c r="I26" s="39">
        <f t="shared" si="1"/>
        <v>340</v>
      </c>
      <c r="N26" s="30" t="s">
        <v>100</v>
      </c>
      <c r="O26" s="30" t="s">
        <v>60</v>
      </c>
      <c r="P26" s="30" t="s">
        <v>69</v>
      </c>
      <c r="Q26" s="29">
        <v>35.0</v>
      </c>
      <c r="R26" s="29">
        <v>5.0</v>
      </c>
      <c r="S26" s="31">
        <v>45353.0</v>
      </c>
      <c r="T26" s="37">
        <v>175.0</v>
      </c>
    </row>
    <row r="27">
      <c r="A27" s="29">
        <v>1019.0</v>
      </c>
      <c r="B27" s="30" t="s">
        <v>96</v>
      </c>
      <c r="C27" s="30" t="s">
        <v>63</v>
      </c>
      <c r="D27" s="30" t="s">
        <v>61</v>
      </c>
      <c r="E27" s="29">
        <v>15.0</v>
      </c>
      <c r="F27" s="29">
        <v>10.0</v>
      </c>
      <c r="G27" s="29" t="s">
        <v>97</v>
      </c>
      <c r="H27" s="37">
        <v>150.0</v>
      </c>
      <c r="I27" s="39">
        <f t="shared" si="1"/>
        <v>825</v>
      </c>
      <c r="N27" s="30" t="s">
        <v>101</v>
      </c>
      <c r="O27" s="30" t="s">
        <v>63</v>
      </c>
      <c r="P27" s="30" t="s">
        <v>72</v>
      </c>
      <c r="Q27" s="29">
        <v>30.0</v>
      </c>
      <c r="R27" s="29">
        <v>8.0</v>
      </c>
      <c r="S27" s="31">
        <v>45384.0</v>
      </c>
      <c r="T27" s="37">
        <v>240.0</v>
      </c>
    </row>
    <row r="28">
      <c r="A28" s="29">
        <v>1020.0</v>
      </c>
      <c r="B28" s="30" t="s">
        <v>98</v>
      </c>
      <c r="C28" s="30" t="s">
        <v>67</v>
      </c>
      <c r="D28" s="30" t="s">
        <v>64</v>
      </c>
      <c r="E28" s="29">
        <v>18.0</v>
      </c>
      <c r="F28" s="29">
        <v>25.0</v>
      </c>
      <c r="G28" s="31">
        <v>45293.0</v>
      </c>
      <c r="H28" s="37">
        <v>450.0</v>
      </c>
      <c r="I28" s="39">
        <f t="shared" si="1"/>
        <v>2900</v>
      </c>
      <c r="N28" s="30" t="s">
        <v>102</v>
      </c>
      <c r="O28" s="30" t="s">
        <v>67</v>
      </c>
      <c r="P28" s="30" t="s">
        <v>58</v>
      </c>
      <c r="Q28" s="29">
        <v>11.0</v>
      </c>
      <c r="R28" s="29">
        <v>50.0</v>
      </c>
      <c r="S28" s="31">
        <v>45445.0</v>
      </c>
      <c r="T28" s="37">
        <v>550.0</v>
      </c>
    </row>
    <row r="29">
      <c r="A29" s="29">
        <v>1021.0</v>
      </c>
      <c r="B29" s="30" t="s">
        <v>99</v>
      </c>
      <c r="C29" s="30" t="s">
        <v>57</v>
      </c>
      <c r="D29" s="30" t="s">
        <v>58</v>
      </c>
      <c r="E29" s="29">
        <v>9.0</v>
      </c>
      <c r="F29" s="29">
        <v>50.0</v>
      </c>
      <c r="G29" s="31">
        <v>45324.0</v>
      </c>
      <c r="H29" s="37">
        <v>450.0</v>
      </c>
      <c r="I29" s="39">
        <f t="shared" si="1"/>
        <v>325</v>
      </c>
      <c r="N29" s="30" t="s">
        <v>103</v>
      </c>
      <c r="O29" s="30" t="s">
        <v>57</v>
      </c>
      <c r="P29" s="30" t="s">
        <v>61</v>
      </c>
      <c r="Q29" s="29">
        <v>14.0</v>
      </c>
      <c r="R29" s="29">
        <v>10.0</v>
      </c>
      <c r="S29" s="31">
        <v>45475.0</v>
      </c>
      <c r="T29" s="37">
        <v>140.0</v>
      </c>
    </row>
    <row r="30">
      <c r="A30" s="29">
        <v>1022.0</v>
      </c>
      <c r="B30" s="30" t="s">
        <v>100</v>
      </c>
      <c r="C30" s="30" t="s">
        <v>60</v>
      </c>
      <c r="D30" s="30" t="s">
        <v>69</v>
      </c>
      <c r="E30" s="29">
        <v>35.0</v>
      </c>
      <c r="F30" s="29">
        <v>5.0</v>
      </c>
      <c r="G30" s="31">
        <v>45353.0</v>
      </c>
      <c r="H30" s="37">
        <v>175.0</v>
      </c>
      <c r="I30" s="39">
        <f t="shared" si="1"/>
        <v>648</v>
      </c>
      <c r="N30" s="30" t="s">
        <v>104</v>
      </c>
      <c r="O30" s="30" t="s">
        <v>60</v>
      </c>
      <c r="P30" s="30" t="s">
        <v>64</v>
      </c>
      <c r="Q30" s="29">
        <v>16.0</v>
      </c>
      <c r="R30" s="29">
        <v>25.0</v>
      </c>
      <c r="S30" s="31">
        <v>45506.0</v>
      </c>
      <c r="T30" s="37">
        <v>400.0</v>
      </c>
    </row>
    <row r="31">
      <c r="A31" s="29">
        <v>1023.0</v>
      </c>
      <c r="B31" s="30" t="s">
        <v>101</v>
      </c>
      <c r="C31" s="30" t="s">
        <v>63</v>
      </c>
      <c r="D31" s="30" t="s">
        <v>72</v>
      </c>
      <c r="E31" s="29">
        <v>30.0</v>
      </c>
      <c r="F31" s="29">
        <v>8.0</v>
      </c>
      <c r="G31" s="31">
        <v>45384.0</v>
      </c>
      <c r="H31" s="37">
        <v>240.0</v>
      </c>
      <c r="I31" s="39">
        <f t="shared" si="1"/>
        <v>1500</v>
      </c>
      <c r="N31" s="30" t="s">
        <v>105</v>
      </c>
      <c r="O31" s="30" t="s">
        <v>63</v>
      </c>
      <c r="P31" s="30" t="s">
        <v>69</v>
      </c>
      <c r="Q31" s="29">
        <v>22.0</v>
      </c>
      <c r="R31" s="29">
        <v>5.0</v>
      </c>
      <c r="S31" s="31">
        <v>45537.0</v>
      </c>
      <c r="T31" s="37">
        <v>110.0</v>
      </c>
    </row>
    <row r="32">
      <c r="A32" s="29">
        <v>1024.0</v>
      </c>
      <c r="B32" s="30" t="s">
        <v>102</v>
      </c>
      <c r="C32" s="30" t="s">
        <v>67</v>
      </c>
      <c r="D32" s="30" t="s">
        <v>58</v>
      </c>
      <c r="E32" s="29">
        <v>11.0</v>
      </c>
      <c r="F32" s="29">
        <v>50.0</v>
      </c>
      <c r="G32" s="31">
        <v>45445.0</v>
      </c>
      <c r="H32" s="37">
        <v>550.0</v>
      </c>
      <c r="I32" s="39">
        <f t="shared" si="1"/>
        <v>340</v>
      </c>
      <c r="N32" s="30" t="s">
        <v>106</v>
      </c>
      <c r="O32" s="30" t="s">
        <v>67</v>
      </c>
      <c r="P32" s="30" t="s">
        <v>72</v>
      </c>
      <c r="Q32" s="29">
        <v>27.0</v>
      </c>
      <c r="R32" s="29">
        <v>8.0</v>
      </c>
      <c r="S32" s="31">
        <v>45567.0</v>
      </c>
      <c r="T32" s="37">
        <v>216.0</v>
      </c>
    </row>
    <row r="33">
      <c r="A33" s="29">
        <v>1025.0</v>
      </c>
      <c r="B33" s="30" t="s">
        <v>103</v>
      </c>
      <c r="C33" s="30" t="s">
        <v>57</v>
      </c>
      <c r="D33" s="30" t="s">
        <v>61</v>
      </c>
      <c r="E33" s="29">
        <v>14.0</v>
      </c>
      <c r="F33" s="29">
        <v>10.0</v>
      </c>
      <c r="G33" s="31">
        <v>45475.0</v>
      </c>
      <c r="H33" s="37">
        <v>140.0</v>
      </c>
      <c r="I33" s="39">
        <f t="shared" si="1"/>
        <v>825</v>
      </c>
      <c r="N33" s="30" t="s">
        <v>107</v>
      </c>
      <c r="O33" s="30" t="s">
        <v>57</v>
      </c>
      <c r="P33" s="30" t="s">
        <v>58</v>
      </c>
      <c r="Q33" s="29">
        <v>13.0</v>
      </c>
      <c r="R33" s="29">
        <v>50.0</v>
      </c>
      <c r="S33" s="31">
        <v>45628.0</v>
      </c>
      <c r="T33" s="37">
        <v>650.0</v>
      </c>
    </row>
    <row r="34">
      <c r="A34" s="29">
        <v>1026.0</v>
      </c>
      <c r="B34" s="30" t="s">
        <v>104</v>
      </c>
      <c r="C34" s="30" t="s">
        <v>60</v>
      </c>
      <c r="D34" s="30" t="s">
        <v>64</v>
      </c>
      <c r="E34" s="29">
        <v>16.0</v>
      </c>
      <c r="F34" s="29">
        <v>25.0</v>
      </c>
      <c r="G34" s="31">
        <v>45506.0</v>
      </c>
      <c r="H34" s="37">
        <v>400.0</v>
      </c>
      <c r="I34" s="39">
        <f t="shared" si="1"/>
        <v>405</v>
      </c>
      <c r="N34" s="30" t="s">
        <v>108</v>
      </c>
      <c r="O34" s="30" t="s">
        <v>60</v>
      </c>
      <c r="P34" s="30" t="s">
        <v>61</v>
      </c>
      <c r="Q34" s="29">
        <v>32.0</v>
      </c>
      <c r="R34" s="29">
        <v>10.0</v>
      </c>
      <c r="S34" s="29" t="s">
        <v>109</v>
      </c>
      <c r="T34" s="37">
        <v>320.0</v>
      </c>
    </row>
    <row r="35">
      <c r="A35" s="29">
        <v>1027.0</v>
      </c>
      <c r="B35" s="30" t="s">
        <v>105</v>
      </c>
      <c r="C35" s="30" t="s">
        <v>63</v>
      </c>
      <c r="D35" s="30" t="s">
        <v>69</v>
      </c>
      <c r="E35" s="29">
        <v>22.0</v>
      </c>
      <c r="F35" s="29">
        <v>5.0</v>
      </c>
      <c r="G35" s="31">
        <v>45537.0</v>
      </c>
      <c r="H35" s="37">
        <v>110.0</v>
      </c>
      <c r="I35" s="39">
        <f t="shared" si="1"/>
        <v>752</v>
      </c>
      <c r="N35" s="30" t="s">
        <v>110</v>
      </c>
      <c r="O35" s="30" t="s">
        <v>63</v>
      </c>
      <c r="P35" s="30" t="s">
        <v>64</v>
      </c>
      <c r="Q35" s="29">
        <v>10.0</v>
      </c>
      <c r="R35" s="29">
        <v>25.0</v>
      </c>
      <c r="S35" s="29" t="s">
        <v>111</v>
      </c>
      <c r="T35" s="37">
        <v>250.0</v>
      </c>
    </row>
    <row r="36">
      <c r="A36" s="29">
        <v>1028.0</v>
      </c>
      <c r="B36" s="30" t="s">
        <v>106</v>
      </c>
      <c r="C36" s="30" t="s">
        <v>67</v>
      </c>
      <c r="D36" s="30" t="s">
        <v>72</v>
      </c>
      <c r="E36" s="29">
        <v>27.0</v>
      </c>
      <c r="F36" s="29">
        <v>8.0</v>
      </c>
      <c r="G36" s="31">
        <v>45567.0</v>
      </c>
      <c r="H36" s="37">
        <v>216.0</v>
      </c>
      <c r="I36" s="39">
        <f t="shared" si="1"/>
        <v>2900</v>
      </c>
      <c r="N36" s="30" t="s">
        <v>112</v>
      </c>
      <c r="O36" s="30" t="s">
        <v>67</v>
      </c>
      <c r="P36" s="30" t="s">
        <v>69</v>
      </c>
      <c r="Q36" s="29">
        <v>18.0</v>
      </c>
      <c r="R36" s="29">
        <v>5.0</v>
      </c>
      <c r="S36" s="29" t="s">
        <v>113</v>
      </c>
      <c r="T36" s="37">
        <v>90.0</v>
      </c>
    </row>
    <row r="37">
      <c r="A37" s="29">
        <v>1029.0</v>
      </c>
      <c r="B37" s="30" t="s">
        <v>107</v>
      </c>
      <c r="C37" s="30" t="s">
        <v>57</v>
      </c>
      <c r="D37" s="30" t="s">
        <v>58</v>
      </c>
      <c r="E37" s="29">
        <v>13.0</v>
      </c>
      <c r="F37" s="29">
        <v>50.0</v>
      </c>
      <c r="G37" s="31">
        <v>45628.0</v>
      </c>
      <c r="H37" s="37">
        <v>650.0</v>
      </c>
      <c r="I37" s="39">
        <f t="shared" si="1"/>
        <v>1050</v>
      </c>
      <c r="N37" s="30" t="s">
        <v>114</v>
      </c>
      <c r="O37" s="30" t="s">
        <v>57</v>
      </c>
      <c r="P37" s="30" t="s">
        <v>72</v>
      </c>
      <c r="Q37" s="29">
        <v>22.0</v>
      </c>
      <c r="R37" s="29">
        <v>8.0</v>
      </c>
      <c r="S37" s="29" t="s">
        <v>115</v>
      </c>
      <c r="T37" s="37">
        <v>176.0</v>
      </c>
    </row>
    <row r="38">
      <c r="A38" s="29">
        <v>1030.0</v>
      </c>
      <c r="B38" s="30" t="s">
        <v>108</v>
      </c>
      <c r="C38" s="30" t="s">
        <v>60</v>
      </c>
      <c r="D38" s="30" t="s">
        <v>61</v>
      </c>
      <c r="E38" s="29">
        <v>32.0</v>
      </c>
      <c r="F38" s="29">
        <v>10.0</v>
      </c>
      <c r="G38" s="29" t="s">
        <v>109</v>
      </c>
      <c r="H38" s="37">
        <v>320.0</v>
      </c>
      <c r="I38" s="39">
        <f t="shared" si="1"/>
        <v>925</v>
      </c>
      <c r="N38" s="30" t="s">
        <v>116</v>
      </c>
      <c r="O38" s="30" t="s">
        <v>60</v>
      </c>
      <c r="P38" s="30" t="s">
        <v>58</v>
      </c>
      <c r="Q38" s="29">
        <v>17.0</v>
      </c>
      <c r="R38" s="29">
        <v>50.0</v>
      </c>
      <c r="S38" s="29" t="s">
        <v>117</v>
      </c>
      <c r="T38" s="37">
        <v>850.0</v>
      </c>
    </row>
    <row r="39">
      <c r="A39" s="29">
        <v>1031.0</v>
      </c>
      <c r="B39" s="30" t="s">
        <v>110</v>
      </c>
      <c r="C39" s="30" t="s">
        <v>63</v>
      </c>
      <c r="D39" s="30" t="s">
        <v>64</v>
      </c>
      <c r="E39" s="29">
        <v>10.0</v>
      </c>
      <c r="F39" s="29">
        <v>25.0</v>
      </c>
      <c r="G39" s="29" t="s">
        <v>111</v>
      </c>
      <c r="H39" s="37">
        <v>250.0</v>
      </c>
      <c r="I39" s="39">
        <f t="shared" si="1"/>
        <v>215</v>
      </c>
      <c r="N39" s="30" t="s">
        <v>118</v>
      </c>
      <c r="O39" s="30" t="s">
        <v>63</v>
      </c>
      <c r="P39" s="30" t="s">
        <v>61</v>
      </c>
      <c r="Q39" s="29">
        <v>19.0</v>
      </c>
      <c r="R39" s="29">
        <v>10.0</v>
      </c>
      <c r="S39" s="29" t="s">
        <v>119</v>
      </c>
      <c r="T39" s="37">
        <v>190.0</v>
      </c>
    </row>
    <row r="40">
      <c r="A40" s="29">
        <v>1032.0</v>
      </c>
      <c r="B40" s="30" t="s">
        <v>112</v>
      </c>
      <c r="C40" s="30" t="s">
        <v>67</v>
      </c>
      <c r="D40" s="30" t="s">
        <v>69</v>
      </c>
      <c r="E40" s="29">
        <v>18.0</v>
      </c>
      <c r="F40" s="29">
        <v>5.0</v>
      </c>
      <c r="G40" s="29" t="s">
        <v>113</v>
      </c>
      <c r="H40" s="37">
        <v>90.0</v>
      </c>
      <c r="I40" s="39">
        <f t="shared" si="1"/>
        <v>336</v>
      </c>
      <c r="N40" s="30" t="s">
        <v>120</v>
      </c>
      <c r="O40" s="30" t="s">
        <v>67</v>
      </c>
      <c r="P40" s="30" t="s">
        <v>64</v>
      </c>
      <c r="Q40" s="29">
        <v>15.0</v>
      </c>
      <c r="R40" s="29">
        <v>25.0</v>
      </c>
      <c r="S40" s="29" t="s">
        <v>121</v>
      </c>
      <c r="T40" s="37">
        <v>375.0</v>
      </c>
    </row>
    <row r="41">
      <c r="A41" s="29">
        <v>1033.0</v>
      </c>
      <c r="B41" s="30" t="s">
        <v>114</v>
      </c>
      <c r="C41" s="30" t="s">
        <v>57</v>
      </c>
      <c r="D41" s="30" t="s">
        <v>72</v>
      </c>
      <c r="E41" s="29">
        <v>22.0</v>
      </c>
      <c r="F41" s="29">
        <v>8.0</v>
      </c>
      <c r="G41" s="29" t="s">
        <v>115</v>
      </c>
      <c r="H41" s="37">
        <v>176.0</v>
      </c>
      <c r="I41" s="39">
        <f t="shared" si="1"/>
        <v>2350</v>
      </c>
      <c r="N41" s="30" t="s">
        <v>122</v>
      </c>
      <c r="O41" s="30" t="s">
        <v>57</v>
      </c>
      <c r="P41" s="30" t="s">
        <v>69</v>
      </c>
      <c r="Q41" s="29">
        <v>28.0</v>
      </c>
      <c r="R41" s="29">
        <v>5.0</v>
      </c>
      <c r="S41" s="29" t="s">
        <v>123</v>
      </c>
      <c r="T41" s="37">
        <v>140.0</v>
      </c>
    </row>
    <row r="42">
      <c r="A42" s="29">
        <v>1034.0</v>
      </c>
      <c r="B42" s="30" t="s">
        <v>116</v>
      </c>
      <c r="C42" s="30" t="s">
        <v>60</v>
      </c>
      <c r="D42" s="30" t="s">
        <v>58</v>
      </c>
      <c r="E42" s="29">
        <v>17.0</v>
      </c>
      <c r="F42" s="29">
        <v>50.0</v>
      </c>
      <c r="G42" s="29" t="s">
        <v>117</v>
      </c>
      <c r="H42" s="37">
        <v>850.0</v>
      </c>
      <c r="I42" s="39">
        <f t="shared" si="1"/>
        <v>340</v>
      </c>
      <c r="N42" s="30" t="s">
        <v>124</v>
      </c>
      <c r="O42" s="30" t="s">
        <v>60</v>
      </c>
      <c r="P42" s="30" t="s">
        <v>72</v>
      </c>
      <c r="Q42" s="29">
        <v>24.0</v>
      </c>
      <c r="R42" s="29">
        <v>8.0</v>
      </c>
      <c r="S42" s="29" t="s">
        <v>125</v>
      </c>
      <c r="T42" s="37">
        <v>192.0</v>
      </c>
    </row>
    <row r="43">
      <c r="A43" s="29">
        <v>1035.0</v>
      </c>
      <c r="B43" s="30" t="s">
        <v>118</v>
      </c>
      <c r="C43" s="30" t="s">
        <v>63</v>
      </c>
      <c r="D43" s="30" t="s">
        <v>61</v>
      </c>
      <c r="E43" s="29">
        <v>19.0</v>
      </c>
      <c r="F43" s="29">
        <v>10.0</v>
      </c>
      <c r="G43" s="29" t="s">
        <v>119</v>
      </c>
      <c r="H43" s="37">
        <v>190.0</v>
      </c>
      <c r="I43" s="39">
        <f t="shared" si="1"/>
        <v>825</v>
      </c>
      <c r="N43" s="30" t="s">
        <v>126</v>
      </c>
      <c r="O43" s="30" t="s">
        <v>63</v>
      </c>
      <c r="P43" s="30" t="s">
        <v>58</v>
      </c>
      <c r="Q43" s="29">
        <v>16.0</v>
      </c>
      <c r="R43" s="29">
        <v>50.0</v>
      </c>
      <c r="S43" s="29" t="s">
        <v>127</v>
      </c>
      <c r="T43" s="37">
        <v>800.0</v>
      </c>
    </row>
    <row r="44">
      <c r="A44" s="29">
        <v>1036.0</v>
      </c>
      <c r="B44" s="30" t="s">
        <v>120</v>
      </c>
      <c r="C44" s="30" t="s">
        <v>67</v>
      </c>
      <c r="D44" s="30" t="s">
        <v>64</v>
      </c>
      <c r="E44" s="29">
        <v>15.0</v>
      </c>
      <c r="F44" s="29">
        <v>25.0</v>
      </c>
      <c r="G44" s="29" t="s">
        <v>121</v>
      </c>
      <c r="H44" s="37">
        <v>375.0</v>
      </c>
      <c r="I44" s="39">
        <f t="shared" si="1"/>
        <v>290</v>
      </c>
      <c r="N44" s="30" t="s">
        <v>128</v>
      </c>
      <c r="O44" s="30" t="s">
        <v>67</v>
      </c>
      <c r="P44" s="30" t="s">
        <v>61</v>
      </c>
      <c r="Q44" s="29">
        <v>27.0</v>
      </c>
      <c r="R44" s="29">
        <v>10.0</v>
      </c>
      <c r="S44" s="29" t="s">
        <v>129</v>
      </c>
      <c r="T44" s="37">
        <v>270.0</v>
      </c>
    </row>
    <row r="45">
      <c r="A45" s="29">
        <v>1037.0</v>
      </c>
      <c r="B45" s="30" t="s">
        <v>122</v>
      </c>
      <c r="C45" s="30" t="s">
        <v>57</v>
      </c>
      <c r="D45" s="30" t="s">
        <v>69</v>
      </c>
      <c r="E45" s="29">
        <v>28.0</v>
      </c>
      <c r="F45" s="29">
        <v>5.0</v>
      </c>
      <c r="G45" s="29" t="s">
        <v>123</v>
      </c>
      <c r="H45" s="37">
        <v>140.0</v>
      </c>
      <c r="I45" s="39">
        <f t="shared" si="1"/>
        <v>192</v>
      </c>
      <c r="N45" s="30" t="s">
        <v>130</v>
      </c>
      <c r="O45" s="30" t="s">
        <v>57</v>
      </c>
      <c r="P45" s="30" t="s">
        <v>64</v>
      </c>
      <c r="Q45" s="29">
        <v>21.0</v>
      </c>
      <c r="R45" s="29">
        <v>25.0</v>
      </c>
      <c r="S45" s="29" t="s">
        <v>131</v>
      </c>
      <c r="T45" s="37">
        <v>525.0</v>
      </c>
    </row>
    <row r="46">
      <c r="A46" s="29">
        <v>1038.0</v>
      </c>
      <c r="B46" s="30" t="s">
        <v>124</v>
      </c>
      <c r="C46" s="30" t="s">
        <v>60</v>
      </c>
      <c r="D46" s="30" t="s">
        <v>72</v>
      </c>
      <c r="E46" s="29">
        <v>24.0</v>
      </c>
      <c r="F46" s="29">
        <v>8.0</v>
      </c>
      <c r="G46" s="29" t="s">
        <v>125</v>
      </c>
      <c r="H46" s="37">
        <v>192.0</v>
      </c>
      <c r="I46" s="39">
        <f t="shared" si="1"/>
        <v>800</v>
      </c>
      <c r="N46" s="30" t="s">
        <v>132</v>
      </c>
      <c r="O46" s="30" t="s">
        <v>60</v>
      </c>
      <c r="P46" s="30" t="s">
        <v>69</v>
      </c>
      <c r="Q46" s="29">
        <v>30.0</v>
      </c>
      <c r="R46" s="29">
        <v>5.0</v>
      </c>
      <c r="S46" s="29" t="s">
        <v>133</v>
      </c>
      <c r="T46" s="37">
        <v>150.0</v>
      </c>
    </row>
    <row r="47">
      <c r="A47" s="29">
        <v>1039.0</v>
      </c>
      <c r="B47" s="30" t="s">
        <v>126</v>
      </c>
      <c r="C47" s="30" t="s">
        <v>63</v>
      </c>
      <c r="D47" s="30" t="s">
        <v>58</v>
      </c>
      <c r="E47" s="29">
        <v>16.0</v>
      </c>
      <c r="F47" s="29">
        <v>50.0</v>
      </c>
      <c r="G47" s="29" t="s">
        <v>127</v>
      </c>
      <c r="H47" s="37">
        <v>800.0</v>
      </c>
      <c r="I47" s="39">
        <f t="shared" si="1"/>
        <v>450</v>
      </c>
      <c r="N47" s="30" t="s">
        <v>134</v>
      </c>
      <c r="O47" s="30" t="s">
        <v>63</v>
      </c>
      <c r="P47" s="30" t="s">
        <v>72</v>
      </c>
      <c r="Q47" s="29">
        <v>26.0</v>
      </c>
      <c r="R47" s="29">
        <v>8.0</v>
      </c>
      <c r="S47" s="31">
        <v>45294.0</v>
      </c>
      <c r="T47" s="37">
        <v>208.0</v>
      </c>
    </row>
    <row r="48">
      <c r="A48" s="29">
        <v>1040.0</v>
      </c>
      <c r="B48" s="30" t="s">
        <v>128</v>
      </c>
      <c r="C48" s="30" t="s">
        <v>67</v>
      </c>
      <c r="D48" s="30" t="s">
        <v>61</v>
      </c>
      <c r="E48" s="29">
        <v>27.0</v>
      </c>
      <c r="F48" s="29">
        <v>10.0</v>
      </c>
      <c r="G48" s="29" t="s">
        <v>129</v>
      </c>
      <c r="H48" s="37">
        <v>270.0</v>
      </c>
      <c r="I48" s="39">
        <f t="shared" si="1"/>
        <v>1075</v>
      </c>
      <c r="N48" s="30" t="s">
        <v>135</v>
      </c>
      <c r="O48" s="30" t="s">
        <v>67</v>
      </c>
      <c r="P48" s="30" t="s">
        <v>58</v>
      </c>
      <c r="Q48" s="29">
        <v>14.0</v>
      </c>
      <c r="R48" s="29">
        <v>50.0</v>
      </c>
      <c r="S48" s="31">
        <v>45325.0</v>
      </c>
      <c r="T48" s="37">
        <v>700.0</v>
      </c>
    </row>
    <row r="49">
      <c r="A49" s="29">
        <v>1041.0</v>
      </c>
      <c r="B49" s="30" t="s">
        <v>130</v>
      </c>
      <c r="C49" s="30" t="s">
        <v>57</v>
      </c>
      <c r="D49" s="30" t="s">
        <v>64</v>
      </c>
      <c r="E49" s="29">
        <v>21.0</v>
      </c>
      <c r="F49" s="29">
        <v>25.0</v>
      </c>
      <c r="G49" s="29" t="s">
        <v>131</v>
      </c>
      <c r="H49" s="37">
        <v>525.0</v>
      </c>
      <c r="I49" s="39">
        <f t="shared" si="1"/>
        <v>325</v>
      </c>
      <c r="N49" s="30" t="s">
        <v>136</v>
      </c>
      <c r="O49" s="30" t="s">
        <v>57</v>
      </c>
      <c r="P49" s="30" t="s">
        <v>61</v>
      </c>
      <c r="Q49" s="29">
        <v>20.0</v>
      </c>
      <c r="R49" s="29">
        <v>10.0</v>
      </c>
      <c r="S49" s="31">
        <v>45354.0</v>
      </c>
      <c r="T49" s="37">
        <v>200.0</v>
      </c>
    </row>
    <row r="50">
      <c r="A50" s="29">
        <v>1042.0</v>
      </c>
      <c r="B50" s="30" t="s">
        <v>132</v>
      </c>
      <c r="C50" s="30" t="s">
        <v>60</v>
      </c>
      <c r="D50" s="30" t="s">
        <v>69</v>
      </c>
      <c r="E50" s="29">
        <v>30.0</v>
      </c>
      <c r="F50" s="29">
        <v>5.0</v>
      </c>
      <c r="G50" s="29" t="s">
        <v>133</v>
      </c>
      <c r="H50" s="37">
        <v>150.0</v>
      </c>
      <c r="I50" s="39">
        <f t="shared" si="1"/>
        <v>648</v>
      </c>
      <c r="N50" s="30" t="s">
        <v>137</v>
      </c>
      <c r="O50" s="30" t="s">
        <v>60</v>
      </c>
      <c r="P50" s="30" t="s">
        <v>64</v>
      </c>
      <c r="Q50" s="29">
        <v>17.0</v>
      </c>
      <c r="R50" s="29">
        <v>25.0</v>
      </c>
      <c r="S50" s="31">
        <v>45385.0</v>
      </c>
      <c r="T50" s="37">
        <v>425.0</v>
      </c>
    </row>
    <row r="51">
      <c r="A51" s="29">
        <v>1043.0</v>
      </c>
      <c r="B51" s="30" t="s">
        <v>134</v>
      </c>
      <c r="C51" s="30" t="s">
        <v>63</v>
      </c>
      <c r="D51" s="30" t="s">
        <v>72</v>
      </c>
      <c r="E51" s="29">
        <v>26.0</v>
      </c>
      <c r="F51" s="29">
        <v>8.0</v>
      </c>
      <c r="G51" s="31">
        <v>45294.0</v>
      </c>
      <c r="H51" s="37">
        <v>208.0</v>
      </c>
      <c r="I51" s="39">
        <f t="shared" si="1"/>
        <v>1500</v>
      </c>
      <c r="N51" s="30" t="s">
        <v>138</v>
      </c>
      <c r="O51" s="30" t="s">
        <v>63</v>
      </c>
      <c r="P51" s="30" t="s">
        <v>69</v>
      </c>
      <c r="Q51" s="29">
        <v>19.0</v>
      </c>
      <c r="R51" s="29">
        <v>5.0</v>
      </c>
      <c r="S51" s="31">
        <v>45415.0</v>
      </c>
      <c r="T51" s="37">
        <v>95.0</v>
      </c>
    </row>
    <row r="52">
      <c r="A52" s="29">
        <v>1044.0</v>
      </c>
      <c r="B52" s="30" t="s">
        <v>135</v>
      </c>
      <c r="C52" s="30" t="s">
        <v>67</v>
      </c>
      <c r="D52" s="30" t="s">
        <v>58</v>
      </c>
      <c r="E52" s="29">
        <v>14.0</v>
      </c>
      <c r="F52" s="29">
        <v>50.0</v>
      </c>
      <c r="G52" s="31">
        <v>45325.0</v>
      </c>
      <c r="H52" s="37">
        <v>700.0</v>
      </c>
      <c r="I52" s="39">
        <f t="shared" si="1"/>
        <v>340</v>
      </c>
      <c r="N52" s="30" t="s">
        <v>139</v>
      </c>
      <c r="O52" s="30" t="s">
        <v>67</v>
      </c>
      <c r="P52" s="30" t="s">
        <v>72</v>
      </c>
      <c r="Q52" s="29">
        <v>32.0</v>
      </c>
      <c r="R52" s="29">
        <v>8.0</v>
      </c>
      <c r="S52" s="31">
        <v>45446.0</v>
      </c>
      <c r="T52" s="37">
        <v>256.0</v>
      </c>
    </row>
    <row r="53">
      <c r="A53" s="29">
        <v>1045.0</v>
      </c>
      <c r="B53" s="30" t="s">
        <v>136</v>
      </c>
      <c r="C53" s="30" t="s">
        <v>57</v>
      </c>
      <c r="D53" s="30" t="s">
        <v>61</v>
      </c>
      <c r="E53" s="29">
        <v>20.0</v>
      </c>
      <c r="F53" s="29">
        <v>10.0</v>
      </c>
      <c r="G53" s="31">
        <v>45354.0</v>
      </c>
      <c r="H53" s="37">
        <v>200.0</v>
      </c>
      <c r="I53" s="39">
        <f t="shared" si="1"/>
        <v>825</v>
      </c>
      <c r="N53" s="30" t="s">
        <v>140</v>
      </c>
      <c r="O53" s="30" t="s">
        <v>57</v>
      </c>
      <c r="P53" s="30" t="s">
        <v>58</v>
      </c>
      <c r="Q53" s="29">
        <v>12.0</v>
      </c>
      <c r="R53" s="29">
        <v>50.0</v>
      </c>
      <c r="S53" s="31">
        <v>45476.0</v>
      </c>
      <c r="T53" s="37">
        <v>600.0</v>
      </c>
    </row>
    <row r="54">
      <c r="A54" s="29">
        <v>1046.0</v>
      </c>
      <c r="B54" s="30" t="s">
        <v>137</v>
      </c>
      <c r="C54" s="30" t="s">
        <v>60</v>
      </c>
      <c r="D54" s="30" t="s">
        <v>64</v>
      </c>
      <c r="E54" s="29">
        <v>17.0</v>
      </c>
      <c r="F54" s="29">
        <v>25.0</v>
      </c>
      <c r="G54" s="31">
        <v>45385.0</v>
      </c>
      <c r="H54" s="37">
        <v>425.0</v>
      </c>
      <c r="I54" s="39">
        <f t="shared" si="1"/>
        <v>405</v>
      </c>
      <c r="N54" s="30" t="s">
        <v>141</v>
      </c>
      <c r="O54" s="30" t="s">
        <v>60</v>
      </c>
      <c r="P54" s="30" t="s">
        <v>61</v>
      </c>
      <c r="Q54" s="29">
        <v>25.0</v>
      </c>
      <c r="R54" s="29">
        <v>10.0</v>
      </c>
      <c r="S54" s="31">
        <v>45507.0</v>
      </c>
      <c r="T54" s="37">
        <v>250.0</v>
      </c>
    </row>
    <row r="55">
      <c r="A55" s="29">
        <v>1047.0</v>
      </c>
      <c r="B55" s="30" t="s">
        <v>138</v>
      </c>
      <c r="C55" s="30" t="s">
        <v>63</v>
      </c>
      <c r="D55" s="30" t="s">
        <v>69</v>
      </c>
      <c r="E55" s="29">
        <v>19.0</v>
      </c>
      <c r="F55" s="29">
        <v>5.0</v>
      </c>
      <c r="G55" s="31">
        <v>45415.0</v>
      </c>
      <c r="H55" s="37">
        <v>95.0</v>
      </c>
      <c r="I55" s="39">
        <f t="shared" si="1"/>
        <v>752</v>
      </c>
      <c r="N55" s="11"/>
      <c r="O55" s="11"/>
      <c r="P55" s="11"/>
      <c r="Q55" s="11"/>
      <c r="R55" s="11"/>
      <c r="S55" s="11"/>
      <c r="T55" s="11"/>
    </row>
    <row r="56">
      <c r="A56" s="29">
        <v>1048.0</v>
      </c>
      <c r="B56" s="30" t="s">
        <v>139</v>
      </c>
      <c r="C56" s="30" t="s">
        <v>67</v>
      </c>
      <c r="D56" s="30" t="s">
        <v>72</v>
      </c>
      <c r="E56" s="29">
        <v>32.0</v>
      </c>
      <c r="F56" s="29">
        <v>8.0</v>
      </c>
      <c r="G56" s="31">
        <v>45446.0</v>
      </c>
      <c r="H56" s="37">
        <v>256.0</v>
      </c>
      <c r="I56" s="39">
        <f t="shared" si="1"/>
        <v>2900</v>
      </c>
      <c r="N56" s="11"/>
      <c r="O56" s="11"/>
      <c r="P56" s="11"/>
      <c r="Q56" s="11"/>
      <c r="R56" s="11"/>
      <c r="S56" s="11"/>
      <c r="T56" s="11"/>
    </row>
    <row r="57">
      <c r="A57" s="29">
        <v>1049.0</v>
      </c>
      <c r="B57" s="30" t="s">
        <v>140</v>
      </c>
      <c r="C57" s="30" t="s">
        <v>57</v>
      </c>
      <c r="D57" s="30" t="s">
        <v>58</v>
      </c>
      <c r="E57" s="29">
        <v>12.0</v>
      </c>
      <c r="F57" s="29">
        <v>50.0</v>
      </c>
      <c r="G57" s="31">
        <v>45476.0</v>
      </c>
      <c r="H57" s="37">
        <v>600.0</v>
      </c>
      <c r="I57" s="39">
        <f t="shared" si="1"/>
        <v>1050</v>
      </c>
      <c r="N57" s="11"/>
      <c r="O57" s="11"/>
      <c r="P57" s="11"/>
      <c r="Q57" s="11"/>
      <c r="R57" s="11"/>
      <c r="S57" s="11"/>
      <c r="T57" s="11"/>
    </row>
    <row r="58">
      <c r="A58" s="29">
        <v>1050.0</v>
      </c>
      <c r="B58" s="30" t="s">
        <v>141</v>
      </c>
      <c r="C58" s="30" t="s">
        <v>60</v>
      </c>
      <c r="D58" s="30" t="s">
        <v>61</v>
      </c>
      <c r="E58" s="29">
        <v>25.0</v>
      </c>
      <c r="F58" s="29">
        <v>10.0</v>
      </c>
      <c r="G58" s="31">
        <v>45507.0</v>
      </c>
      <c r="H58" s="37">
        <v>250.0</v>
      </c>
      <c r="I58" s="39">
        <f t="shared" si="1"/>
        <v>0</v>
      </c>
      <c r="N58" s="11"/>
      <c r="O58" s="11"/>
      <c r="P58" s="11"/>
      <c r="Q58" s="11"/>
      <c r="R58" s="11"/>
      <c r="S58" s="11"/>
      <c r="T58" s="11"/>
    </row>
    <row r="59">
      <c r="I59" s="39"/>
      <c r="N59" s="11"/>
      <c r="O59" s="11"/>
      <c r="P59" s="11"/>
      <c r="Q59" s="11"/>
      <c r="R59" s="11"/>
      <c r="S59" s="11"/>
      <c r="T59" s="11"/>
    </row>
    <row r="60">
      <c r="I60" s="39"/>
      <c r="N60" s="11"/>
      <c r="O60" s="11"/>
      <c r="P60" s="11"/>
      <c r="Q60" s="11"/>
      <c r="R60" s="11"/>
      <c r="S60" s="11"/>
      <c r="T60" s="11"/>
    </row>
    <row r="61">
      <c r="I61" s="39"/>
      <c r="N61" s="11"/>
      <c r="O61" s="11"/>
      <c r="P61" s="11"/>
      <c r="Q61" s="11"/>
      <c r="R61" s="11"/>
      <c r="S61" s="11"/>
      <c r="T61" s="11"/>
    </row>
    <row r="62">
      <c r="I62" s="39"/>
      <c r="N62" s="11"/>
      <c r="O62" s="11"/>
      <c r="P62" s="11"/>
      <c r="Q62" s="11"/>
      <c r="R62" s="11"/>
      <c r="S62" s="11"/>
      <c r="T62" s="11"/>
    </row>
    <row r="63">
      <c r="I63" s="39"/>
      <c r="N63" s="11"/>
      <c r="O63" s="11"/>
      <c r="P63" s="11"/>
      <c r="Q63" s="11"/>
      <c r="R63" s="11"/>
      <c r="S63" s="11"/>
      <c r="T63" s="11"/>
    </row>
    <row r="64">
      <c r="I64" s="39"/>
      <c r="N64" s="11"/>
      <c r="O64" s="11"/>
      <c r="P64" s="11"/>
      <c r="Q64" s="11"/>
      <c r="R64" s="11"/>
      <c r="S64" s="11"/>
      <c r="T64" s="11"/>
    </row>
    <row r="65">
      <c r="I65" s="39"/>
      <c r="N65" s="11"/>
      <c r="O65" s="11"/>
      <c r="P65" s="11"/>
      <c r="Q65" s="11"/>
      <c r="R65" s="11"/>
      <c r="S65" s="11"/>
      <c r="T65" s="11"/>
    </row>
    <row r="66">
      <c r="I66" s="39"/>
      <c r="N66" s="11"/>
      <c r="O66" s="11"/>
      <c r="P66" s="11"/>
      <c r="Q66" s="11"/>
      <c r="R66" s="11"/>
      <c r="S66" s="11"/>
      <c r="T66" s="11"/>
    </row>
    <row r="67">
      <c r="I67" s="39"/>
      <c r="N67" s="11"/>
      <c r="O67" s="11"/>
      <c r="P67" s="11"/>
      <c r="Q67" s="11"/>
      <c r="R67" s="11"/>
      <c r="S67" s="11"/>
      <c r="T67" s="11"/>
    </row>
    <row r="68">
      <c r="I68" s="39"/>
      <c r="N68" s="11"/>
      <c r="O68" s="11"/>
      <c r="P68" s="11"/>
      <c r="Q68" s="11"/>
      <c r="R68" s="11"/>
      <c r="S68" s="11"/>
      <c r="T68" s="11"/>
    </row>
    <row r="69">
      <c r="I69" s="39"/>
    </row>
    <row r="70">
      <c r="I70" s="40"/>
    </row>
    <row r="71">
      <c r="I71" s="40"/>
    </row>
    <row r="72">
      <c r="I72" s="40"/>
    </row>
    <row r="73">
      <c r="I73" s="40"/>
    </row>
    <row r="74">
      <c r="I74" s="40"/>
    </row>
    <row r="75">
      <c r="I75" s="40"/>
    </row>
    <row r="76">
      <c r="I76" s="40"/>
    </row>
    <row r="77">
      <c r="I77" s="40"/>
    </row>
    <row r="78">
      <c r="I78" s="40"/>
    </row>
    <row r="79">
      <c r="I79" s="40"/>
    </row>
    <row r="80">
      <c r="I80" s="40"/>
    </row>
    <row r="81">
      <c r="I81" s="40"/>
    </row>
  </sheetData>
  <mergeCells count="2">
    <mergeCell ref="M2:W2"/>
    <mergeCell ref="A3:K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sheetData>
    <row r="3">
      <c r="B3" s="33" t="s">
        <v>150</v>
      </c>
    </row>
    <row r="5">
      <c r="B5" s="28" t="s">
        <v>48</v>
      </c>
      <c r="C5" s="28" t="s">
        <v>49</v>
      </c>
      <c r="D5" s="28" t="s">
        <v>50</v>
      </c>
      <c r="E5" s="28" t="s">
        <v>51</v>
      </c>
      <c r="F5" s="28" t="s">
        <v>52</v>
      </c>
      <c r="G5" s="28" t="s">
        <v>53</v>
      </c>
      <c r="H5" s="28" t="s">
        <v>54</v>
      </c>
      <c r="I5" s="35" t="s">
        <v>151</v>
      </c>
    </row>
    <row r="6">
      <c r="B6" s="29">
        <v>1001.0</v>
      </c>
      <c r="C6" s="30" t="s">
        <v>56</v>
      </c>
      <c r="D6" s="30" t="s">
        <v>57</v>
      </c>
      <c r="E6" s="30" t="s">
        <v>58</v>
      </c>
      <c r="F6" s="29">
        <v>10.0</v>
      </c>
      <c r="G6" s="29">
        <v>50.0</v>
      </c>
      <c r="H6" s="31">
        <v>45413.0</v>
      </c>
      <c r="I6" s="37">
        <v>500.0</v>
      </c>
    </row>
    <row r="7">
      <c r="B7" s="29">
        <v>1002.0</v>
      </c>
      <c r="C7" s="30" t="s">
        <v>59</v>
      </c>
      <c r="D7" s="30" t="s">
        <v>60</v>
      </c>
      <c r="E7" s="30" t="s">
        <v>61</v>
      </c>
      <c r="F7" s="29">
        <v>20.0</v>
      </c>
      <c r="G7" s="29">
        <v>10.0</v>
      </c>
      <c r="H7" s="31">
        <v>45444.0</v>
      </c>
      <c r="I7" s="37">
        <v>200.0</v>
      </c>
    </row>
    <row r="8">
      <c r="B8" s="29">
        <v>1003.0</v>
      </c>
      <c r="C8" s="30" t="s">
        <v>62</v>
      </c>
      <c r="D8" s="30" t="s">
        <v>63</v>
      </c>
      <c r="E8" s="30" t="s">
        <v>64</v>
      </c>
      <c r="F8" s="29">
        <v>15.0</v>
      </c>
      <c r="G8" s="29">
        <v>25.0</v>
      </c>
      <c r="H8" s="31">
        <v>45474.0</v>
      </c>
      <c r="I8" s="37">
        <v>375.0</v>
      </c>
    </row>
    <row r="9">
      <c r="B9" s="29">
        <v>1004.0</v>
      </c>
      <c r="C9" s="30" t="s">
        <v>66</v>
      </c>
      <c r="D9" s="30" t="s">
        <v>67</v>
      </c>
      <c r="E9" s="30" t="s">
        <v>58</v>
      </c>
      <c r="F9" s="29">
        <v>5.0</v>
      </c>
      <c r="G9" s="29">
        <v>50.0</v>
      </c>
      <c r="H9" s="31">
        <v>45505.0</v>
      </c>
      <c r="I9" s="37">
        <v>250.0</v>
      </c>
    </row>
    <row r="10">
      <c r="B10" s="29">
        <v>1005.0</v>
      </c>
      <c r="C10" s="30" t="s">
        <v>68</v>
      </c>
      <c r="D10" s="30" t="s">
        <v>57</v>
      </c>
      <c r="E10" s="30" t="s">
        <v>69</v>
      </c>
      <c r="F10" s="29">
        <v>30.0</v>
      </c>
      <c r="G10" s="29">
        <v>5.0</v>
      </c>
      <c r="H10" s="31">
        <v>45566.0</v>
      </c>
      <c r="I10" s="37">
        <v>150.0</v>
      </c>
    </row>
    <row r="11">
      <c r="B11" s="29">
        <v>1006.0</v>
      </c>
      <c r="C11" s="30" t="s">
        <v>70</v>
      </c>
      <c r="D11" s="30" t="s">
        <v>60</v>
      </c>
      <c r="E11" s="30" t="s">
        <v>58</v>
      </c>
      <c r="F11" s="29">
        <v>12.0</v>
      </c>
      <c r="G11" s="29">
        <v>50.0</v>
      </c>
      <c r="H11" s="31">
        <v>45597.0</v>
      </c>
      <c r="I11" s="37">
        <v>600.0</v>
      </c>
    </row>
    <row r="12">
      <c r="B12" s="29">
        <v>1007.0</v>
      </c>
      <c r="C12" s="30" t="s">
        <v>71</v>
      </c>
      <c r="D12" s="30" t="s">
        <v>63</v>
      </c>
      <c r="E12" s="30" t="s">
        <v>72</v>
      </c>
      <c r="F12" s="29">
        <v>25.0</v>
      </c>
      <c r="G12" s="29">
        <v>8.0</v>
      </c>
      <c r="H12" s="29" t="s">
        <v>73</v>
      </c>
      <c r="I12" s="37">
        <v>200.0</v>
      </c>
    </row>
    <row r="13">
      <c r="B13" s="29">
        <v>1008.0</v>
      </c>
      <c r="C13" s="30" t="s">
        <v>74</v>
      </c>
      <c r="D13" s="30" t="s">
        <v>67</v>
      </c>
      <c r="E13" s="30" t="s">
        <v>61</v>
      </c>
      <c r="F13" s="29">
        <v>18.0</v>
      </c>
      <c r="G13" s="29">
        <v>10.0</v>
      </c>
      <c r="H13" s="29" t="s">
        <v>75</v>
      </c>
      <c r="I13" s="37">
        <v>180.0</v>
      </c>
    </row>
    <row r="14">
      <c r="B14" s="29">
        <v>1009.0</v>
      </c>
      <c r="C14" s="30" t="s">
        <v>76</v>
      </c>
      <c r="D14" s="30" t="s">
        <v>57</v>
      </c>
      <c r="E14" s="30" t="s">
        <v>64</v>
      </c>
      <c r="F14" s="29">
        <v>22.0</v>
      </c>
      <c r="G14" s="29">
        <v>25.0</v>
      </c>
      <c r="H14" s="29" t="s">
        <v>77</v>
      </c>
      <c r="I14" s="37">
        <v>550.0</v>
      </c>
    </row>
    <row r="15">
      <c r="B15" s="29">
        <v>1010.0</v>
      </c>
      <c r="C15" s="30" t="s">
        <v>78</v>
      </c>
      <c r="D15" s="30" t="s">
        <v>60</v>
      </c>
      <c r="E15" s="30" t="s">
        <v>58</v>
      </c>
      <c r="F15" s="29">
        <v>8.0</v>
      </c>
      <c r="G15" s="29">
        <v>50.0</v>
      </c>
      <c r="H15" s="29" t="s">
        <v>79</v>
      </c>
      <c r="I15" s="37">
        <v>400.0</v>
      </c>
    </row>
    <row r="16">
      <c r="B16" s="29">
        <v>1011.0</v>
      </c>
      <c r="C16" s="30" t="s">
        <v>80</v>
      </c>
      <c r="D16" s="30" t="s">
        <v>63</v>
      </c>
      <c r="E16" s="30" t="s">
        <v>69</v>
      </c>
      <c r="F16" s="29">
        <v>40.0</v>
      </c>
      <c r="G16" s="29">
        <v>5.0</v>
      </c>
      <c r="H16" s="29" t="s">
        <v>81</v>
      </c>
      <c r="I16" s="37">
        <v>200.0</v>
      </c>
      <c r="K16" s="19" t="s">
        <v>143</v>
      </c>
    </row>
    <row r="17">
      <c r="B17" s="29">
        <v>1012.0</v>
      </c>
      <c r="C17" s="30" t="s">
        <v>82</v>
      </c>
      <c r="D17" s="30" t="s">
        <v>67</v>
      </c>
      <c r="E17" s="30" t="s">
        <v>72</v>
      </c>
      <c r="F17" s="29">
        <v>35.0</v>
      </c>
      <c r="G17" s="29">
        <v>8.0</v>
      </c>
      <c r="H17" s="29" t="s">
        <v>83</v>
      </c>
      <c r="I17" s="37">
        <v>280.0</v>
      </c>
    </row>
    <row r="18">
      <c r="B18" s="29">
        <v>1013.0</v>
      </c>
      <c r="C18" s="30" t="s">
        <v>84</v>
      </c>
      <c r="D18" s="30" t="s">
        <v>57</v>
      </c>
      <c r="E18" s="30" t="s">
        <v>58</v>
      </c>
      <c r="F18" s="29">
        <v>14.0</v>
      </c>
      <c r="G18" s="29">
        <v>50.0</v>
      </c>
      <c r="H18" s="29" t="s">
        <v>85</v>
      </c>
      <c r="I18" s="37">
        <v>700.0</v>
      </c>
    </row>
    <row r="19">
      <c r="B19" s="29">
        <v>1014.0</v>
      </c>
      <c r="C19" s="30" t="s">
        <v>86</v>
      </c>
      <c r="D19" s="30" t="s">
        <v>60</v>
      </c>
      <c r="E19" s="30" t="s">
        <v>61</v>
      </c>
      <c r="F19" s="29">
        <v>28.0</v>
      </c>
      <c r="G19" s="29">
        <v>10.0</v>
      </c>
      <c r="H19" s="29" t="s">
        <v>87</v>
      </c>
      <c r="I19" s="37">
        <v>280.0</v>
      </c>
    </row>
    <row r="20">
      <c r="B20" s="29">
        <v>1015.0</v>
      </c>
      <c r="C20" s="30" t="s">
        <v>88</v>
      </c>
      <c r="D20" s="30" t="s">
        <v>63</v>
      </c>
      <c r="E20" s="30" t="s">
        <v>64</v>
      </c>
      <c r="F20" s="29">
        <v>12.0</v>
      </c>
      <c r="G20" s="29">
        <v>25.0</v>
      </c>
      <c r="H20" s="29" t="s">
        <v>89</v>
      </c>
      <c r="I20" s="37">
        <v>300.0</v>
      </c>
    </row>
    <row r="21">
      <c r="B21" s="29">
        <v>1016.0</v>
      </c>
      <c r="C21" s="30" t="s">
        <v>90</v>
      </c>
      <c r="D21" s="30" t="s">
        <v>67</v>
      </c>
      <c r="E21" s="30" t="s">
        <v>69</v>
      </c>
      <c r="F21" s="29">
        <v>25.0</v>
      </c>
      <c r="G21" s="29">
        <v>5.0</v>
      </c>
      <c r="H21" s="29" t="s">
        <v>91</v>
      </c>
      <c r="I21" s="37">
        <v>125.0</v>
      </c>
    </row>
    <row r="22">
      <c r="B22" s="29">
        <v>1017.0</v>
      </c>
      <c r="C22" s="30" t="s">
        <v>92</v>
      </c>
      <c r="D22" s="30" t="s">
        <v>57</v>
      </c>
      <c r="E22" s="30" t="s">
        <v>72</v>
      </c>
      <c r="F22" s="29">
        <v>20.0</v>
      </c>
      <c r="G22" s="29">
        <v>8.0</v>
      </c>
      <c r="H22" s="29" t="s">
        <v>93</v>
      </c>
      <c r="I22" s="37">
        <v>160.0</v>
      </c>
    </row>
    <row r="23">
      <c r="B23" s="29">
        <v>1018.0</v>
      </c>
      <c r="C23" s="30" t="s">
        <v>94</v>
      </c>
      <c r="D23" s="30" t="s">
        <v>60</v>
      </c>
      <c r="E23" s="30" t="s">
        <v>58</v>
      </c>
      <c r="F23" s="29">
        <v>10.0</v>
      </c>
      <c r="G23" s="29">
        <v>50.0</v>
      </c>
      <c r="H23" s="29" t="s">
        <v>95</v>
      </c>
      <c r="I23" s="37">
        <v>500.0</v>
      </c>
    </row>
    <row r="24">
      <c r="B24" s="29">
        <v>1019.0</v>
      </c>
      <c r="C24" s="30" t="s">
        <v>96</v>
      </c>
      <c r="D24" s="30" t="s">
        <v>63</v>
      </c>
      <c r="E24" s="30" t="s">
        <v>61</v>
      </c>
      <c r="F24" s="29">
        <v>15.0</v>
      </c>
      <c r="G24" s="29">
        <v>10.0</v>
      </c>
      <c r="H24" s="29" t="s">
        <v>97</v>
      </c>
      <c r="I24" s="37">
        <v>150.0</v>
      </c>
    </row>
    <row r="25">
      <c r="B25" s="29">
        <v>1020.0</v>
      </c>
      <c r="C25" s="30" t="s">
        <v>98</v>
      </c>
      <c r="D25" s="30" t="s">
        <v>67</v>
      </c>
      <c r="E25" s="30" t="s">
        <v>64</v>
      </c>
      <c r="F25" s="29">
        <v>18.0</v>
      </c>
      <c r="G25" s="29">
        <v>25.0</v>
      </c>
      <c r="H25" s="31">
        <v>45293.0</v>
      </c>
      <c r="I25" s="37">
        <v>450.0</v>
      </c>
    </row>
    <row r="26">
      <c r="B26" s="29">
        <v>1021.0</v>
      </c>
      <c r="C26" s="30" t="s">
        <v>99</v>
      </c>
      <c r="D26" s="30" t="s">
        <v>57</v>
      </c>
      <c r="E26" s="30" t="s">
        <v>58</v>
      </c>
      <c r="F26" s="29">
        <v>9.0</v>
      </c>
      <c r="G26" s="29">
        <v>50.0</v>
      </c>
      <c r="H26" s="31">
        <v>45324.0</v>
      </c>
      <c r="I26" s="37">
        <v>450.0</v>
      </c>
    </row>
    <row r="27">
      <c r="B27" s="29">
        <v>1022.0</v>
      </c>
      <c r="C27" s="30" t="s">
        <v>100</v>
      </c>
      <c r="D27" s="30" t="s">
        <v>60</v>
      </c>
      <c r="E27" s="30" t="s">
        <v>69</v>
      </c>
      <c r="F27" s="29">
        <v>35.0</v>
      </c>
      <c r="G27" s="29">
        <v>5.0</v>
      </c>
      <c r="H27" s="31">
        <v>45353.0</v>
      </c>
      <c r="I27" s="37">
        <v>175.0</v>
      </c>
    </row>
    <row r="28">
      <c r="B28" s="29">
        <v>1023.0</v>
      </c>
      <c r="C28" s="30" t="s">
        <v>101</v>
      </c>
      <c r="D28" s="30" t="s">
        <v>63</v>
      </c>
      <c r="E28" s="30" t="s">
        <v>72</v>
      </c>
      <c r="F28" s="29">
        <v>30.0</v>
      </c>
      <c r="G28" s="29">
        <v>8.0</v>
      </c>
      <c r="H28" s="31">
        <v>45384.0</v>
      </c>
      <c r="I28" s="37">
        <v>240.0</v>
      </c>
    </row>
    <row r="29">
      <c r="B29" s="29">
        <v>1024.0</v>
      </c>
      <c r="C29" s="30" t="s">
        <v>102</v>
      </c>
      <c r="D29" s="30" t="s">
        <v>67</v>
      </c>
      <c r="E29" s="30" t="s">
        <v>58</v>
      </c>
      <c r="F29" s="29">
        <v>11.0</v>
      </c>
      <c r="G29" s="29">
        <v>50.0</v>
      </c>
      <c r="H29" s="31">
        <v>45445.0</v>
      </c>
      <c r="I29" s="37">
        <v>550.0</v>
      </c>
    </row>
    <row r="30">
      <c r="B30" s="29">
        <v>1025.0</v>
      </c>
      <c r="C30" s="30" t="s">
        <v>103</v>
      </c>
      <c r="D30" s="30" t="s">
        <v>57</v>
      </c>
      <c r="E30" s="30" t="s">
        <v>61</v>
      </c>
      <c r="F30" s="29">
        <v>14.0</v>
      </c>
      <c r="G30" s="29">
        <v>10.0</v>
      </c>
      <c r="H30" s="31">
        <v>45475.0</v>
      </c>
      <c r="I30" s="37">
        <v>140.0</v>
      </c>
    </row>
    <row r="31">
      <c r="B31" s="29">
        <v>1026.0</v>
      </c>
      <c r="C31" s="30" t="s">
        <v>104</v>
      </c>
      <c r="D31" s="30" t="s">
        <v>60</v>
      </c>
      <c r="E31" s="30" t="s">
        <v>64</v>
      </c>
      <c r="F31" s="29">
        <v>16.0</v>
      </c>
      <c r="G31" s="29">
        <v>25.0</v>
      </c>
      <c r="H31" s="31">
        <v>45506.0</v>
      </c>
      <c r="I31" s="37">
        <v>400.0</v>
      </c>
    </row>
    <row r="32">
      <c r="B32" s="29">
        <v>1027.0</v>
      </c>
      <c r="C32" s="30" t="s">
        <v>105</v>
      </c>
      <c r="D32" s="30" t="s">
        <v>63</v>
      </c>
      <c r="E32" s="30" t="s">
        <v>69</v>
      </c>
      <c r="F32" s="29">
        <v>22.0</v>
      </c>
      <c r="G32" s="29">
        <v>5.0</v>
      </c>
      <c r="H32" s="31">
        <v>45537.0</v>
      </c>
      <c r="I32" s="37">
        <v>110.0</v>
      </c>
    </row>
    <row r="33">
      <c r="B33" s="29">
        <v>1028.0</v>
      </c>
      <c r="C33" s="30" t="s">
        <v>106</v>
      </c>
      <c r="D33" s="30" t="s">
        <v>67</v>
      </c>
      <c r="E33" s="30" t="s">
        <v>72</v>
      </c>
      <c r="F33" s="29">
        <v>27.0</v>
      </c>
      <c r="G33" s="29">
        <v>8.0</v>
      </c>
      <c r="H33" s="31">
        <v>45567.0</v>
      </c>
      <c r="I33" s="37">
        <v>216.0</v>
      </c>
    </row>
    <row r="34">
      <c r="B34" s="29">
        <v>1029.0</v>
      </c>
      <c r="C34" s="30" t="s">
        <v>107</v>
      </c>
      <c r="D34" s="30" t="s">
        <v>57</v>
      </c>
      <c r="E34" s="30" t="s">
        <v>58</v>
      </c>
      <c r="F34" s="29">
        <v>13.0</v>
      </c>
      <c r="G34" s="29">
        <v>50.0</v>
      </c>
      <c r="H34" s="31">
        <v>45628.0</v>
      </c>
      <c r="I34" s="37">
        <v>650.0</v>
      </c>
    </row>
    <row r="35">
      <c r="B35" s="29">
        <v>1030.0</v>
      </c>
      <c r="C35" s="30" t="s">
        <v>108</v>
      </c>
      <c r="D35" s="30" t="s">
        <v>60</v>
      </c>
      <c r="E35" s="30" t="s">
        <v>61</v>
      </c>
      <c r="F35" s="29">
        <v>32.0</v>
      </c>
      <c r="G35" s="29">
        <v>10.0</v>
      </c>
      <c r="H35" s="29" t="s">
        <v>109</v>
      </c>
      <c r="I35" s="37">
        <v>320.0</v>
      </c>
    </row>
    <row r="36">
      <c r="B36" s="29">
        <v>1031.0</v>
      </c>
      <c r="C36" s="30" t="s">
        <v>110</v>
      </c>
      <c r="D36" s="30" t="s">
        <v>63</v>
      </c>
      <c r="E36" s="30" t="s">
        <v>64</v>
      </c>
      <c r="F36" s="29">
        <v>10.0</v>
      </c>
      <c r="G36" s="29">
        <v>25.0</v>
      </c>
      <c r="H36" s="29" t="s">
        <v>111</v>
      </c>
      <c r="I36" s="37">
        <v>250.0</v>
      </c>
    </row>
    <row r="37">
      <c r="B37" s="29">
        <v>1032.0</v>
      </c>
      <c r="C37" s="30" t="s">
        <v>112</v>
      </c>
      <c r="D37" s="30" t="s">
        <v>67</v>
      </c>
      <c r="E37" s="30" t="s">
        <v>69</v>
      </c>
      <c r="F37" s="29">
        <v>18.0</v>
      </c>
      <c r="G37" s="29">
        <v>5.0</v>
      </c>
      <c r="H37" s="29" t="s">
        <v>113</v>
      </c>
      <c r="I37" s="37">
        <v>90.0</v>
      </c>
    </row>
    <row r="38">
      <c r="B38" s="29">
        <v>1033.0</v>
      </c>
      <c r="C38" s="30" t="s">
        <v>114</v>
      </c>
      <c r="D38" s="30" t="s">
        <v>57</v>
      </c>
      <c r="E38" s="30" t="s">
        <v>72</v>
      </c>
      <c r="F38" s="29">
        <v>22.0</v>
      </c>
      <c r="G38" s="29">
        <v>8.0</v>
      </c>
      <c r="H38" s="29" t="s">
        <v>115</v>
      </c>
      <c r="I38" s="37">
        <v>176.0</v>
      </c>
    </row>
    <row r="39">
      <c r="B39" s="29">
        <v>1034.0</v>
      </c>
      <c r="C39" s="30" t="s">
        <v>116</v>
      </c>
      <c r="D39" s="30" t="s">
        <v>60</v>
      </c>
      <c r="E39" s="30" t="s">
        <v>58</v>
      </c>
      <c r="F39" s="29">
        <v>17.0</v>
      </c>
      <c r="G39" s="29">
        <v>50.0</v>
      </c>
      <c r="H39" s="29" t="s">
        <v>117</v>
      </c>
      <c r="I39" s="37">
        <v>850.0</v>
      </c>
    </row>
    <row r="40">
      <c r="B40" s="29">
        <v>1035.0</v>
      </c>
      <c r="C40" s="30" t="s">
        <v>118</v>
      </c>
      <c r="D40" s="30" t="s">
        <v>63</v>
      </c>
      <c r="E40" s="30" t="s">
        <v>61</v>
      </c>
      <c r="F40" s="29">
        <v>19.0</v>
      </c>
      <c r="G40" s="29">
        <v>10.0</v>
      </c>
      <c r="H40" s="29" t="s">
        <v>119</v>
      </c>
      <c r="I40" s="37">
        <v>190.0</v>
      </c>
    </row>
    <row r="41">
      <c r="B41" s="29">
        <v>1036.0</v>
      </c>
      <c r="C41" s="30" t="s">
        <v>120</v>
      </c>
      <c r="D41" s="30" t="s">
        <v>67</v>
      </c>
      <c r="E41" s="30" t="s">
        <v>64</v>
      </c>
      <c r="F41" s="29">
        <v>15.0</v>
      </c>
      <c r="G41" s="29">
        <v>25.0</v>
      </c>
      <c r="H41" s="29" t="s">
        <v>121</v>
      </c>
      <c r="I41" s="37">
        <v>375.0</v>
      </c>
    </row>
    <row r="42">
      <c r="B42" s="29">
        <v>1037.0</v>
      </c>
      <c r="C42" s="30" t="s">
        <v>122</v>
      </c>
      <c r="D42" s="30" t="s">
        <v>57</v>
      </c>
      <c r="E42" s="30" t="s">
        <v>69</v>
      </c>
      <c r="F42" s="29">
        <v>28.0</v>
      </c>
      <c r="G42" s="29">
        <v>5.0</v>
      </c>
      <c r="H42" s="29" t="s">
        <v>123</v>
      </c>
      <c r="I42" s="37">
        <v>140.0</v>
      </c>
    </row>
    <row r="43">
      <c r="B43" s="29">
        <v>1038.0</v>
      </c>
      <c r="C43" s="30" t="s">
        <v>124</v>
      </c>
      <c r="D43" s="30" t="s">
        <v>60</v>
      </c>
      <c r="E43" s="30" t="s">
        <v>72</v>
      </c>
      <c r="F43" s="29">
        <v>24.0</v>
      </c>
      <c r="G43" s="29">
        <v>8.0</v>
      </c>
      <c r="H43" s="29" t="s">
        <v>125</v>
      </c>
      <c r="I43" s="37">
        <v>192.0</v>
      </c>
    </row>
    <row r="44">
      <c r="B44" s="29">
        <v>1039.0</v>
      </c>
      <c r="C44" s="30" t="s">
        <v>126</v>
      </c>
      <c r="D44" s="30" t="s">
        <v>63</v>
      </c>
      <c r="E44" s="30" t="s">
        <v>58</v>
      </c>
      <c r="F44" s="29">
        <v>16.0</v>
      </c>
      <c r="G44" s="29">
        <v>50.0</v>
      </c>
      <c r="H44" s="29" t="s">
        <v>127</v>
      </c>
      <c r="I44" s="37">
        <v>800.0</v>
      </c>
    </row>
    <row r="45">
      <c r="B45" s="29">
        <v>1040.0</v>
      </c>
      <c r="C45" s="30" t="s">
        <v>128</v>
      </c>
      <c r="D45" s="30" t="s">
        <v>67</v>
      </c>
      <c r="E45" s="30" t="s">
        <v>61</v>
      </c>
      <c r="F45" s="29">
        <v>27.0</v>
      </c>
      <c r="G45" s="29">
        <v>10.0</v>
      </c>
      <c r="H45" s="29" t="s">
        <v>129</v>
      </c>
      <c r="I45" s="37">
        <v>270.0</v>
      </c>
    </row>
    <row r="46">
      <c r="B46" s="29">
        <v>1041.0</v>
      </c>
      <c r="C46" s="30" t="s">
        <v>130</v>
      </c>
      <c r="D46" s="30" t="s">
        <v>57</v>
      </c>
      <c r="E46" s="30" t="s">
        <v>64</v>
      </c>
      <c r="F46" s="29">
        <v>21.0</v>
      </c>
      <c r="G46" s="29">
        <v>25.0</v>
      </c>
      <c r="H46" s="29" t="s">
        <v>131</v>
      </c>
      <c r="I46" s="37">
        <v>525.0</v>
      </c>
    </row>
    <row r="47">
      <c r="B47" s="29">
        <v>1042.0</v>
      </c>
      <c r="C47" s="30" t="s">
        <v>132</v>
      </c>
      <c r="D47" s="30" t="s">
        <v>60</v>
      </c>
      <c r="E47" s="30" t="s">
        <v>69</v>
      </c>
      <c r="F47" s="29">
        <v>30.0</v>
      </c>
      <c r="G47" s="29">
        <v>5.0</v>
      </c>
      <c r="H47" s="29" t="s">
        <v>133</v>
      </c>
      <c r="I47" s="37">
        <v>150.0</v>
      </c>
    </row>
    <row r="48">
      <c r="B48" s="29">
        <v>1043.0</v>
      </c>
      <c r="C48" s="30" t="s">
        <v>134</v>
      </c>
      <c r="D48" s="30" t="s">
        <v>63</v>
      </c>
      <c r="E48" s="30" t="s">
        <v>72</v>
      </c>
      <c r="F48" s="29">
        <v>26.0</v>
      </c>
      <c r="G48" s="29">
        <v>8.0</v>
      </c>
      <c r="H48" s="31">
        <v>45294.0</v>
      </c>
      <c r="I48" s="37">
        <v>208.0</v>
      </c>
    </row>
    <row r="49">
      <c r="B49" s="29">
        <v>1044.0</v>
      </c>
      <c r="C49" s="30" t="s">
        <v>135</v>
      </c>
      <c r="D49" s="30" t="s">
        <v>67</v>
      </c>
      <c r="E49" s="30" t="s">
        <v>58</v>
      </c>
      <c r="F49" s="29">
        <v>14.0</v>
      </c>
      <c r="G49" s="29">
        <v>50.0</v>
      </c>
      <c r="H49" s="31">
        <v>45325.0</v>
      </c>
      <c r="I49" s="37">
        <v>700.0</v>
      </c>
    </row>
    <row r="50">
      <c r="B50" s="29">
        <v>1045.0</v>
      </c>
      <c r="C50" s="30" t="s">
        <v>136</v>
      </c>
      <c r="D50" s="30" t="s">
        <v>57</v>
      </c>
      <c r="E50" s="30" t="s">
        <v>61</v>
      </c>
      <c r="F50" s="29">
        <v>20.0</v>
      </c>
      <c r="G50" s="29">
        <v>10.0</v>
      </c>
      <c r="H50" s="31">
        <v>45354.0</v>
      </c>
      <c r="I50" s="37">
        <v>200.0</v>
      </c>
    </row>
    <row r="51">
      <c r="B51" s="29">
        <v>1046.0</v>
      </c>
      <c r="C51" s="30" t="s">
        <v>137</v>
      </c>
      <c r="D51" s="30" t="s">
        <v>60</v>
      </c>
      <c r="E51" s="30" t="s">
        <v>64</v>
      </c>
      <c r="F51" s="29">
        <v>17.0</v>
      </c>
      <c r="G51" s="29">
        <v>25.0</v>
      </c>
      <c r="H51" s="31">
        <v>45385.0</v>
      </c>
      <c r="I51" s="37">
        <v>425.0</v>
      </c>
    </row>
    <row r="52">
      <c r="B52" s="29">
        <v>1047.0</v>
      </c>
      <c r="C52" s="30" t="s">
        <v>138</v>
      </c>
      <c r="D52" s="30" t="s">
        <v>63</v>
      </c>
      <c r="E52" s="30" t="s">
        <v>69</v>
      </c>
      <c r="F52" s="29">
        <v>19.0</v>
      </c>
      <c r="G52" s="29">
        <v>5.0</v>
      </c>
      <c r="H52" s="31">
        <v>45415.0</v>
      </c>
      <c r="I52" s="37">
        <v>95.0</v>
      </c>
    </row>
    <row r="53">
      <c r="B53" s="29">
        <v>1048.0</v>
      </c>
      <c r="C53" s="30" t="s">
        <v>139</v>
      </c>
      <c r="D53" s="30" t="s">
        <v>67</v>
      </c>
      <c r="E53" s="30" t="s">
        <v>72</v>
      </c>
      <c r="F53" s="29">
        <v>32.0</v>
      </c>
      <c r="G53" s="29">
        <v>8.0</v>
      </c>
      <c r="H53" s="31">
        <v>45446.0</v>
      </c>
      <c r="I53" s="37">
        <v>256.0</v>
      </c>
    </row>
    <row r="54">
      <c r="B54" s="29">
        <v>1049.0</v>
      </c>
      <c r="C54" s="30" t="s">
        <v>140</v>
      </c>
      <c r="D54" s="30" t="s">
        <v>57</v>
      </c>
      <c r="E54" s="30" t="s">
        <v>58</v>
      </c>
      <c r="F54" s="29">
        <v>12.0</v>
      </c>
      <c r="G54" s="29">
        <v>50.0</v>
      </c>
      <c r="H54" s="31">
        <v>45476.0</v>
      </c>
      <c r="I54" s="37">
        <v>600.0</v>
      </c>
    </row>
    <row r="55">
      <c r="B55" s="29">
        <v>1050.0</v>
      </c>
      <c r="C55" s="30" t="s">
        <v>141</v>
      </c>
      <c r="D55" s="30" t="s">
        <v>60</v>
      </c>
      <c r="E55" s="30" t="s">
        <v>61</v>
      </c>
      <c r="F55" s="29">
        <v>25.0</v>
      </c>
      <c r="G55" s="29">
        <v>10.0</v>
      </c>
      <c r="H55" s="31">
        <v>45507.0</v>
      </c>
      <c r="I55" s="37">
        <v>250.0</v>
      </c>
    </row>
  </sheetData>
  <mergeCells count="1">
    <mergeCell ref="B3:M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sheetData>
    <row r="3">
      <c r="A3" s="33" t="s">
        <v>152</v>
      </c>
    </row>
    <row r="5">
      <c r="A5" s="28" t="s">
        <v>48</v>
      </c>
      <c r="B5" s="28" t="s">
        <v>49</v>
      </c>
      <c r="C5" s="28" t="s">
        <v>50</v>
      </c>
      <c r="D5" s="28" t="s">
        <v>51</v>
      </c>
      <c r="E5" s="28" t="s">
        <v>52</v>
      </c>
      <c r="F5" s="28" t="s">
        <v>53</v>
      </c>
      <c r="G5" s="28" t="s">
        <v>54</v>
      </c>
      <c r="H5" s="35" t="s">
        <v>151</v>
      </c>
    </row>
    <row r="6">
      <c r="A6" s="29">
        <v>1001.0</v>
      </c>
      <c r="B6" s="30" t="s">
        <v>56</v>
      </c>
      <c r="C6" s="30" t="s">
        <v>57</v>
      </c>
      <c r="D6" s="30" t="s">
        <v>58</v>
      </c>
      <c r="E6" s="29">
        <v>10.0</v>
      </c>
      <c r="F6" s="29">
        <v>50.0</v>
      </c>
      <c r="G6" s="31">
        <v>45413.0</v>
      </c>
      <c r="H6" s="37">
        <v>500.0</v>
      </c>
    </row>
    <row r="7">
      <c r="A7" s="29">
        <v>1002.0</v>
      </c>
      <c r="B7" s="30" t="s">
        <v>59</v>
      </c>
      <c r="C7" s="30" t="s">
        <v>60</v>
      </c>
      <c r="D7" s="30" t="s">
        <v>61</v>
      </c>
      <c r="E7" s="29">
        <v>20.0</v>
      </c>
      <c r="F7" s="29">
        <v>10.0</v>
      </c>
      <c r="G7" s="31">
        <v>45444.0</v>
      </c>
      <c r="H7" s="37">
        <v>200.0</v>
      </c>
    </row>
    <row r="8">
      <c r="A8" s="29">
        <v>1003.0</v>
      </c>
      <c r="B8" s="30" t="s">
        <v>62</v>
      </c>
      <c r="C8" s="30" t="s">
        <v>63</v>
      </c>
      <c r="D8" s="30" t="s">
        <v>64</v>
      </c>
      <c r="E8" s="29">
        <v>15.0</v>
      </c>
      <c r="F8" s="29">
        <v>25.0</v>
      </c>
      <c r="G8" s="31">
        <v>45474.0</v>
      </c>
      <c r="H8" s="37">
        <v>375.0</v>
      </c>
    </row>
    <row r="9">
      <c r="A9" s="29">
        <v>1004.0</v>
      </c>
      <c r="B9" s="30" t="s">
        <v>66</v>
      </c>
      <c r="C9" s="30" t="s">
        <v>67</v>
      </c>
      <c r="D9" s="30" t="s">
        <v>58</v>
      </c>
      <c r="E9" s="29">
        <v>5.0</v>
      </c>
      <c r="F9" s="29">
        <v>50.0</v>
      </c>
      <c r="G9" s="31">
        <v>45505.0</v>
      </c>
      <c r="H9" s="37">
        <v>250.0</v>
      </c>
    </row>
    <row r="10">
      <c r="A10" s="29">
        <v>1005.0</v>
      </c>
      <c r="B10" s="30" t="s">
        <v>68</v>
      </c>
      <c r="C10" s="30" t="s">
        <v>57</v>
      </c>
      <c r="D10" s="30" t="s">
        <v>69</v>
      </c>
      <c r="E10" s="29">
        <v>30.0</v>
      </c>
      <c r="F10" s="29">
        <v>5.0</v>
      </c>
      <c r="G10" s="31">
        <v>45566.0</v>
      </c>
      <c r="H10" s="37">
        <v>150.0</v>
      </c>
    </row>
    <row r="11">
      <c r="A11" s="29">
        <v>1006.0</v>
      </c>
      <c r="B11" s="30" t="s">
        <v>70</v>
      </c>
      <c r="C11" s="30" t="s">
        <v>60</v>
      </c>
      <c r="D11" s="30" t="s">
        <v>58</v>
      </c>
      <c r="E11" s="29">
        <v>12.0</v>
      </c>
      <c r="F11" s="29">
        <v>50.0</v>
      </c>
      <c r="G11" s="31">
        <v>45597.0</v>
      </c>
      <c r="H11" s="37">
        <v>600.0</v>
      </c>
    </row>
    <row r="12">
      <c r="A12" s="29">
        <v>1007.0</v>
      </c>
      <c r="B12" s="30" t="s">
        <v>71</v>
      </c>
      <c r="C12" s="30" t="s">
        <v>63</v>
      </c>
      <c r="D12" s="30" t="s">
        <v>72</v>
      </c>
      <c r="E12" s="29">
        <v>25.0</v>
      </c>
      <c r="F12" s="29">
        <v>8.0</v>
      </c>
      <c r="G12" s="29" t="s">
        <v>73</v>
      </c>
      <c r="H12" s="37">
        <v>200.0</v>
      </c>
    </row>
    <row r="13">
      <c r="A13" s="29">
        <v>1008.0</v>
      </c>
      <c r="B13" s="30" t="s">
        <v>74</v>
      </c>
      <c r="C13" s="30" t="s">
        <v>67</v>
      </c>
      <c r="D13" s="30" t="s">
        <v>61</v>
      </c>
      <c r="E13" s="29">
        <v>18.0</v>
      </c>
      <c r="F13" s="29">
        <v>10.0</v>
      </c>
      <c r="G13" s="29" t="s">
        <v>75</v>
      </c>
      <c r="H13" s="37">
        <v>180.0</v>
      </c>
    </row>
    <row r="14">
      <c r="A14" s="29">
        <v>1009.0</v>
      </c>
      <c r="B14" s="30" t="s">
        <v>76</v>
      </c>
      <c r="C14" s="30" t="s">
        <v>57</v>
      </c>
      <c r="D14" s="30" t="s">
        <v>64</v>
      </c>
      <c r="E14" s="29">
        <v>22.0</v>
      </c>
      <c r="F14" s="29">
        <v>25.0</v>
      </c>
      <c r="G14" s="29" t="s">
        <v>77</v>
      </c>
      <c r="H14" s="37">
        <v>550.0</v>
      </c>
    </row>
    <row r="15">
      <c r="A15" s="29">
        <v>1010.0</v>
      </c>
      <c r="B15" s="30" t="s">
        <v>78</v>
      </c>
      <c r="C15" s="30" t="s">
        <v>60</v>
      </c>
      <c r="D15" s="30" t="s">
        <v>58</v>
      </c>
      <c r="E15" s="29">
        <v>8.0</v>
      </c>
      <c r="F15" s="29">
        <v>50.0</v>
      </c>
      <c r="G15" s="29" t="s">
        <v>79</v>
      </c>
      <c r="H15" s="37">
        <v>400.0</v>
      </c>
    </row>
    <row r="16">
      <c r="A16" s="29">
        <v>1011.0</v>
      </c>
      <c r="B16" s="30" t="s">
        <v>80</v>
      </c>
      <c r="C16" s="30" t="s">
        <v>63</v>
      </c>
      <c r="D16" s="30" t="s">
        <v>69</v>
      </c>
      <c r="E16" s="29">
        <v>40.0</v>
      </c>
      <c r="F16" s="29">
        <v>5.0</v>
      </c>
      <c r="G16" s="29" t="s">
        <v>81</v>
      </c>
      <c r="H16" s="37">
        <v>200.0</v>
      </c>
    </row>
    <row r="17">
      <c r="A17" s="29">
        <v>1012.0</v>
      </c>
      <c r="B17" s="30" t="s">
        <v>82</v>
      </c>
      <c r="C17" s="30" t="s">
        <v>67</v>
      </c>
      <c r="D17" s="30" t="s">
        <v>72</v>
      </c>
      <c r="E17" s="29">
        <v>35.0</v>
      </c>
      <c r="F17" s="29">
        <v>8.0</v>
      </c>
      <c r="G17" s="29" t="s">
        <v>83</v>
      </c>
      <c r="H17" s="37">
        <v>280.0</v>
      </c>
    </row>
    <row r="18">
      <c r="A18" s="29">
        <v>1013.0</v>
      </c>
      <c r="B18" s="30" t="s">
        <v>84</v>
      </c>
      <c r="C18" s="30" t="s">
        <v>57</v>
      </c>
      <c r="D18" s="30" t="s">
        <v>58</v>
      </c>
      <c r="E18" s="29">
        <v>14.0</v>
      </c>
      <c r="F18" s="29">
        <v>50.0</v>
      </c>
      <c r="G18" s="29" t="s">
        <v>85</v>
      </c>
      <c r="H18" s="37">
        <v>700.0</v>
      </c>
    </row>
    <row r="19">
      <c r="A19" s="29">
        <v>1014.0</v>
      </c>
      <c r="B19" s="30" t="s">
        <v>86</v>
      </c>
      <c r="C19" s="30" t="s">
        <v>60</v>
      </c>
      <c r="D19" s="30" t="s">
        <v>61</v>
      </c>
      <c r="E19" s="29">
        <v>28.0</v>
      </c>
      <c r="F19" s="29">
        <v>10.0</v>
      </c>
      <c r="G19" s="29" t="s">
        <v>87</v>
      </c>
      <c r="H19" s="37">
        <v>280.0</v>
      </c>
    </row>
    <row r="20">
      <c r="A20" s="29">
        <v>1015.0</v>
      </c>
      <c r="B20" s="30" t="s">
        <v>88</v>
      </c>
      <c r="C20" s="30" t="s">
        <v>63</v>
      </c>
      <c r="D20" s="30" t="s">
        <v>64</v>
      </c>
      <c r="E20" s="29">
        <v>12.0</v>
      </c>
      <c r="F20" s="29">
        <v>25.0</v>
      </c>
      <c r="G20" s="29" t="s">
        <v>89</v>
      </c>
      <c r="H20" s="37">
        <v>300.0</v>
      </c>
    </row>
    <row r="21">
      <c r="A21" s="29">
        <v>1016.0</v>
      </c>
      <c r="B21" s="30" t="s">
        <v>90</v>
      </c>
      <c r="C21" s="30" t="s">
        <v>67</v>
      </c>
      <c r="D21" s="30" t="s">
        <v>69</v>
      </c>
      <c r="E21" s="29">
        <v>25.0</v>
      </c>
      <c r="F21" s="29">
        <v>5.0</v>
      </c>
      <c r="G21" s="29" t="s">
        <v>91</v>
      </c>
      <c r="H21" s="37">
        <v>125.0</v>
      </c>
      <c r="O21" s="41"/>
      <c r="P21" s="41"/>
    </row>
    <row r="22">
      <c r="A22" s="29">
        <v>1017.0</v>
      </c>
      <c r="B22" s="30" t="s">
        <v>92</v>
      </c>
      <c r="C22" s="30" t="s">
        <v>57</v>
      </c>
      <c r="D22" s="30" t="s">
        <v>72</v>
      </c>
      <c r="E22" s="29">
        <v>20.0</v>
      </c>
      <c r="F22" s="29">
        <v>8.0</v>
      </c>
      <c r="G22" s="29" t="s">
        <v>93</v>
      </c>
      <c r="H22" s="37">
        <v>160.0</v>
      </c>
      <c r="O22" s="41"/>
      <c r="P22" s="41"/>
    </row>
    <row r="23">
      <c r="A23" s="29">
        <v>1018.0</v>
      </c>
      <c r="B23" s="30" t="s">
        <v>94</v>
      </c>
      <c r="C23" s="30" t="s">
        <v>60</v>
      </c>
      <c r="D23" s="30" t="s">
        <v>58</v>
      </c>
      <c r="E23" s="29">
        <v>10.0</v>
      </c>
      <c r="F23" s="29">
        <v>50.0</v>
      </c>
      <c r="G23" s="29" t="s">
        <v>95</v>
      </c>
      <c r="H23" s="37">
        <v>500.0</v>
      </c>
      <c r="O23" s="41"/>
      <c r="P23" s="41"/>
    </row>
    <row r="24">
      <c r="A24" s="29">
        <v>1019.0</v>
      </c>
      <c r="B24" s="30" t="s">
        <v>96</v>
      </c>
      <c r="C24" s="30" t="s">
        <v>63</v>
      </c>
      <c r="D24" s="30" t="s">
        <v>61</v>
      </c>
      <c r="E24" s="29">
        <v>15.0</v>
      </c>
      <c r="F24" s="29">
        <v>10.0</v>
      </c>
      <c r="G24" s="29" t="s">
        <v>97</v>
      </c>
      <c r="H24" s="37">
        <v>150.0</v>
      </c>
      <c r="O24" s="41"/>
      <c r="P24" s="41"/>
    </row>
    <row r="25">
      <c r="A25" s="29">
        <v>1020.0</v>
      </c>
      <c r="B25" s="30" t="s">
        <v>98</v>
      </c>
      <c r="C25" s="30" t="s">
        <v>67</v>
      </c>
      <c r="D25" s="30" t="s">
        <v>64</v>
      </c>
      <c r="E25" s="29">
        <v>18.0</v>
      </c>
      <c r="F25" s="29">
        <v>25.0</v>
      </c>
      <c r="G25" s="31">
        <v>45293.0</v>
      </c>
      <c r="H25" s="37">
        <v>450.0</v>
      </c>
      <c r="O25" s="41"/>
      <c r="P25" s="41"/>
    </row>
    <row r="26">
      <c r="A26" s="29">
        <v>1021.0</v>
      </c>
      <c r="B26" s="30" t="s">
        <v>99</v>
      </c>
      <c r="C26" s="30" t="s">
        <v>57</v>
      </c>
      <c r="D26" s="30" t="s">
        <v>58</v>
      </c>
      <c r="E26" s="29">
        <v>9.0</v>
      </c>
      <c r="F26" s="29">
        <v>50.0</v>
      </c>
      <c r="G26" s="31">
        <v>45324.0</v>
      </c>
      <c r="H26" s="37">
        <v>450.0</v>
      </c>
    </row>
    <row r="27">
      <c r="A27" s="29">
        <v>1022.0</v>
      </c>
      <c r="B27" s="30" t="s">
        <v>100</v>
      </c>
      <c r="C27" s="30" t="s">
        <v>60</v>
      </c>
      <c r="D27" s="30" t="s">
        <v>69</v>
      </c>
      <c r="E27" s="29">
        <v>35.0</v>
      </c>
      <c r="F27" s="29">
        <v>5.0</v>
      </c>
      <c r="G27" s="31">
        <v>45353.0</v>
      </c>
      <c r="H27" s="37">
        <v>175.0</v>
      </c>
    </row>
    <row r="28">
      <c r="A28" s="29">
        <v>1023.0</v>
      </c>
      <c r="B28" s="30" t="s">
        <v>101</v>
      </c>
      <c r="C28" s="30" t="s">
        <v>63</v>
      </c>
      <c r="D28" s="30" t="s">
        <v>72</v>
      </c>
      <c r="E28" s="29">
        <v>30.0</v>
      </c>
      <c r="F28" s="29">
        <v>8.0</v>
      </c>
      <c r="G28" s="31">
        <v>45384.0</v>
      </c>
      <c r="H28" s="37">
        <v>240.0</v>
      </c>
    </row>
    <row r="29">
      <c r="A29" s="29">
        <v>1024.0</v>
      </c>
      <c r="B29" s="30" t="s">
        <v>102</v>
      </c>
      <c r="C29" s="30" t="s">
        <v>67</v>
      </c>
      <c r="D29" s="30" t="s">
        <v>58</v>
      </c>
      <c r="E29" s="29">
        <v>11.0</v>
      </c>
      <c r="F29" s="29">
        <v>50.0</v>
      </c>
      <c r="G29" s="31">
        <v>45445.0</v>
      </c>
      <c r="H29" s="37">
        <v>550.0</v>
      </c>
    </row>
    <row r="30">
      <c r="A30" s="29">
        <v>1025.0</v>
      </c>
      <c r="B30" s="30" t="s">
        <v>103</v>
      </c>
      <c r="C30" s="30" t="s">
        <v>57</v>
      </c>
      <c r="D30" s="30" t="s">
        <v>61</v>
      </c>
      <c r="E30" s="29">
        <v>14.0</v>
      </c>
      <c r="F30" s="29">
        <v>10.0</v>
      </c>
      <c r="G30" s="31">
        <v>45475.0</v>
      </c>
      <c r="H30" s="37">
        <v>140.0</v>
      </c>
    </row>
    <row r="31">
      <c r="A31" s="29">
        <v>1026.0</v>
      </c>
      <c r="B31" s="30" t="s">
        <v>104</v>
      </c>
      <c r="C31" s="30" t="s">
        <v>60</v>
      </c>
      <c r="D31" s="30" t="s">
        <v>64</v>
      </c>
      <c r="E31" s="29">
        <v>16.0</v>
      </c>
      <c r="F31" s="29">
        <v>25.0</v>
      </c>
      <c r="G31" s="31">
        <v>45506.0</v>
      </c>
      <c r="H31" s="37">
        <v>400.0</v>
      </c>
    </row>
    <row r="32">
      <c r="A32" s="29">
        <v>1027.0</v>
      </c>
      <c r="B32" s="30" t="s">
        <v>105</v>
      </c>
      <c r="C32" s="30" t="s">
        <v>63</v>
      </c>
      <c r="D32" s="30" t="s">
        <v>69</v>
      </c>
      <c r="E32" s="29">
        <v>22.0</v>
      </c>
      <c r="F32" s="29">
        <v>5.0</v>
      </c>
      <c r="G32" s="31">
        <v>45537.0</v>
      </c>
      <c r="H32" s="37">
        <v>110.0</v>
      </c>
    </row>
    <row r="33">
      <c r="A33" s="29">
        <v>1028.0</v>
      </c>
      <c r="B33" s="30" t="s">
        <v>106</v>
      </c>
      <c r="C33" s="30" t="s">
        <v>67</v>
      </c>
      <c r="D33" s="30" t="s">
        <v>72</v>
      </c>
      <c r="E33" s="29">
        <v>27.0</v>
      </c>
      <c r="F33" s="29">
        <v>8.0</v>
      </c>
      <c r="G33" s="31">
        <v>45567.0</v>
      </c>
      <c r="H33" s="37">
        <v>216.0</v>
      </c>
    </row>
    <row r="34">
      <c r="A34" s="29">
        <v>1029.0</v>
      </c>
      <c r="B34" s="30" t="s">
        <v>107</v>
      </c>
      <c r="C34" s="30" t="s">
        <v>57</v>
      </c>
      <c r="D34" s="30" t="s">
        <v>58</v>
      </c>
      <c r="E34" s="29">
        <v>13.0</v>
      </c>
      <c r="F34" s="29">
        <v>50.0</v>
      </c>
      <c r="G34" s="31">
        <v>45628.0</v>
      </c>
      <c r="H34" s="37">
        <v>650.0</v>
      </c>
    </row>
    <row r="35">
      <c r="A35" s="29">
        <v>1030.0</v>
      </c>
      <c r="B35" s="30" t="s">
        <v>108</v>
      </c>
      <c r="C35" s="30" t="s">
        <v>60</v>
      </c>
      <c r="D35" s="30" t="s">
        <v>61</v>
      </c>
      <c r="E35" s="29">
        <v>32.0</v>
      </c>
      <c r="F35" s="29">
        <v>10.0</v>
      </c>
      <c r="G35" s="29" t="s">
        <v>109</v>
      </c>
      <c r="H35" s="37">
        <v>320.0</v>
      </c>
    </row>
    <row r="36">
      <c r="A36" s="29">
        <v>1031.0</v>
      </c>
      <c r="B36" s="30" t="s">
        <v>110</v>
      </c>
      <c r="C36" s="30" t="s">
        <v>63</v>
      </c>
      <c r="D36" s="30" t="s">
        <v>64</v>
      </c>
      <c r="E36" s="29">
        <v>10.0</v>
      </c>
      <c r="F36" s="29">
        <v>25.0</v>
      </c>
      <c r="G36" s="29" t="s">
        <v>111</v>
      </c>
      <c r="H36" s="37">
        <v>250.0</v>
      </c>
    </row>
    <row r="37">
      <c r="A37" s="29">
        <v>1032.0</v>
      </c>
      <c r="B37" s="30" t="s">
        <v>112</v>
      </c>
      <c r="C37" s="30" t="s">
        <v>67</v>
      </c>
      <c r="D37" s="30" t="s">
        <v>69</v>
      </c>
      <c r="E37" s="29">
        <v>18.0</v>
      </c>
      <c r="F37" s="29">
        <v>5.0</v>
      </c>
      <c r="G37" s="29" t="s">
        <v>113</v>
      </c>
      <c r="H37" s="37">
        <v>90.0</v>
      </c>
    </row>
    <row r="38">
      <c r="A38" s="29">
        <v>1033.0</v>
      </c>
      <c r="B38" s="30" t="s">
        <v>114</v>
      </c>
      <c r="C38" s="30" t="s">
        <v>57</v>
      </c>
      <c r="D38" s="30" t="s">
        <v>72</v>
      </c>
      <c r="E38" s="29">
        <v>22.0</v>
      </c>
      <c r="F38" s="29">
        <v>8.0</v>
      </c>
      <c r="G38" s="29" t="s">
        <v>115</v>
      </c>
      <c r="H38" s="37">
        <v>176.0</v>
      </c>
    </row>
    <row r="39">
      <c r="A39" s="29">
        <v>1034.0</v>
      </c>
      <c r="B39" s="30" t="s">
        <v>116</v>
      </c>
      <c r="C39" s="30" t="s">
        <v>60</v>
      </c>
      <c r="D39" s="30" t="s">
        <v>58</v>
      </c>
      <c r="E39" s="29">
        <v>17.0</v>
      </c>
      <c r="F39" s="29">
        <v>50.0</v>
      </c>
      <c r="G39" s="29" t="s">
        <v>117</v>
      </c>
      <c r="H39" s="37">
        <v>850.0</v>
      </c>
    </row>
    <row r="40">
      <c r="A40" s="29">
        <v>1035.0</v>
      </c>
      <c r="B40" s="30" t="s">
        <v>118</v>
      </c>
      <c r="C40" s="30" t="s">
        <v>63</v>
      </c>
      <c r="D40" s="30" t="s">
        <v>61</v>
      </c>
      <c r="E40" s="29">
        <v>19.0</v>
      </c>
      <c r="F40" s="29">
        <v>10.0</v>
      </c>
      <c r="G40" s="29" t="s">
        <v>119</v>
      </c>
      <c r="H40" s="37">
        <v>190.0</v>
      </c>
    </row>
    <row r="41">
      <c r="A41" s="29">
        <v>1036.0</v>
      </c>
      <c r="B41" s="30" t="s">
        <v>120</v>
      </c>
      <c r="C41" s="30" t="s">
        <v>67</v>
      </c>
      <c r="D41" s="30" t="s">
        <v>64</v>
      </c>
      <c r="E41" s="29">
        <v>15.0</v>
      </c>
      <c r="F41" s="29">
        <v>25.0</v>
      </c>
      <c r="G41" s="29" t="s">
        <v>121</v>
      </c>
      <c r="H41" s="37">
        <v>375.0</v>
      </c>
    </row>
    <row r="42">
      <c r="A42" s="29">
        <v>1037.0</v>
      </c>
      <c r="B42" s="30" t="s">
        <v>122</v>
      </c>
      <c r="C42" s="30" t="s">
        <v>57</v>
      </c>
      <c r="D42" s="30" t="s">
        <v>69</v>
      </c>
      <c r="E42" s="29">
        <v>28.0</v>
      </c>
      <c r="F42" s="29">
        <v>5.0</v>
      </c>
      <c r="G42" s="29" t="s">
        <v>123</v>
      </c>
      <c r="H42" s="37">
        <v>140.0</v>
      </c>
    </row>
    <row r="43">
      <c r="A43" s="29">
        <v>1038.0</v>
      </c>
      <c r="B43" s="30" t="s">
        <v>124</v>
      </c>
      <c r="C43" s="30" t="s">
        <v>60</v>
      </c>
      <c r="D43" s="30" t="s">
        <v>72</v>
      </c>
      <c r="E43" s="29">
        <v>24.0</v>
      </c>
      <c r="F43" s="29">
        <v>8.0</v>
      </c>
      <c r="G43" s="29" t="s">
        <v>125</v>
      </c>
      <c r="H43" s="37">
        <v>192.0</v>
      </c>
    </row>
    <row r="44">
      <c r="A44" s="29">
        <v>1039.0</v>
      </c>
      <c r="B44" s="30" t="s">
        <v>126</v>
      </c>
      <c r="C44" s="30" t="s">
        <v>63</v>
      </c>
      <c r="D44" s="30" t="s">
        <v>58</v>
      </c>
      <c r="E44" s="29">
        <v>16.0</v>
      </c>
      <c r="F44" s="29">
        <v>50.0</v>
      </c>
      <c r="G44" s="29" t="s">
        <v>127</v>
      </c>
      <c r="H44" s="37">
        <v>800.0</v>
      </c>
    </row>
    <row r="45">
      <c r="A45" s="29">
        <v>1040.0</v>
      </c>
      <c r="B45" s="30" t="s">
        <v>128</v>
      </c>
      <c r="C45" s="30" t="s">
        <v>67</v>
      </c>
      <c r="D45" s="30" t="s">
        <v>61</v>
      </c>
      <c r="E45" s="29">
        <v>27.0</v>
      </c>
      <c r="F45" s="29">
        <v>10.0</v>
      </c>
      <c r="G45" s="29" t="s">
        <v>129</v>
      </c>
      <c r="H45" s="37">
        <v>270.0</v>
      </c>
    </row>
    <row r="46">
      <c r="A46" s="29">
        <v>1041.0</v>
      </c>
      <c r="B46" s="30" t="s">
        <v>130</v>
      </c>
      <c r="C46" s="30" t="s">
        <v>57</v>
      </c>
      <c r="D46" s="30" t="s">
        <v>64</v>
      </c>
      <c r="E46" s="29">
        <v>21.0</v>
      </c>
      <c r="F46" s="29">
        <v>25.0</v>
      </c>
      <c r="G46" s="29" t="s">
        <v>131</v>
      </c>
      <c r="H46" s="37">
        <v>525.0</v>
      </c>
    </row>
    <row r="47">
      <c r="A47" s="29">
        <v>1042.0</v>
      </c>
      <c r="B47" s="30" t="s">
        <v>132</v>
      </c>
      <c r="C47" s="30" t="s">
        <v>60</v>
      </c>
      <c r="D47" s="30" t="s">
        <v>69</v>
      </c>
      <c r="E47" s="29">
        <v>30.0</v>
      </c>
      <c r="F47" s="29">
        <v>5.0</v>
      </c>
      <c r="G47" s="29" t="s">
        <v>133</v>
      </c>
      <c r="H47" s="37">
        <v>150.0</v>
      </c>
    </row>
    <row r="48">
      <c r="A48" s="29">
        <v>1043.0</v>
      </c>
      <c r="B48" s="30" t="s">
        <v>134</v>
      </c>
      <c r="C48" s="30" t="s">
        <v>63</v>
      </c>
      <c r="D48" s="30" t="s">
        <v>72</v>
      </c>
      <c r="E48" s="29">
        <v>26.0</v>
      </c>
      <c r="F48" s="29">
        <v>8.0</v>
      </c>
      <c r="G48" s="31">
        <v>45294.0</v>
      </c>
      <c r="H48" s="37">
        <v>208.0</v>
      </c>
    </row>
    <row r="49">
      <c r="A49" s="29">
        <v>1044.0</v>
      </c>
      <c r="B49" s="30" t="s">
        <v>135</v>
      </c>
      <c r="C49" s="30" t="s">
        <v>67</v>
      </c>
      <c r="D49" s="30" t="s">
        <v>58</v>
      </c>
      <c r="E49" s="29">
        <v>14.0</v>
      </c>
      <c r="F49" s="29">
        <v>50.0</v>
      </c>
      <c r="G49" s="31">
        <v>45325.0</v>
      </c>
      <c r="H49" s="37">
        <v>700.0</v>
      </c>
    </row>
    <row r="50">
      <c r="A50" s="29">
        <v>1045.0</v>
      </c>
      <c r="B50" s="30" t="s">
        <v>136</v>
      </c>
      <c r="C50" s="30" t="s">
        <v>57</v>
      </c>
      <c r="D50" s="30" t="s">
        <v>61</v>
      </c>
      <c r="E50" s="29">
        <v>20.0</v>
      </c>
      <c r="F50" s="29">
        <v>10.0</v>
      </c>
      <c r="G50" s="31">
        <v>45354.0</v>
      </c>
      <c r="H50" s="37">
        <v>200.0</v>
      </c>
    </row>
    <row r="51">
      <c r="A51" s="29">
        <v>1046.0</v>
      </c>
      <c r="B51" s="30" t="s">
        <v>137</v>
      </c>
      <c r="C51" s="30" t="s">
        <v>60</v>
      </c>
      <c r="D51" s="30" t="s">
        <v>64</v>
      </c>
      <c r="E51" s="29">
        <v>17.0</v>
      </c>
      <c r="F51" s="29">
        <v>25.0</v>
      </c>
      <c r="G51" s="31">
        <v>45385.0</v>
      </c>
      <c r="H51" s="37">
        <v>425.0</v>
      </c>
    </row>
    <row r="52">
      <c r="A52" s="29">
        <v>1047.0</v>
      </c>
      <c r="B52" s="30" t="s">
        <v>138</v>
      </c>
      <c r="C52" s="30" t="s">
        <v>63</v>
      </c>
      <c r="D52" s="30" t="s">
        <v>69</v>
      </c>
      <c r="E52" s="29">
        <v>19.0</v>
      </c>
      <c r="F52" s="29">
        <v>5.0</v>
      </c>
      <c r="G52" s="31">
        <v>45415.0</v>
      </c>
      <c r="H52" s="37">
        <v>95.0</v>
      </c>
    </row>
    <row r="53">
      <c r="A53" s="29">
        <v>1048.0</v>
      </c>
      <c r="B53" s="30" t="s">
        <v>139</v>
      </c>
      <c r="C53" s="30" t="s">
        <v>67</v>
      </c>
      <c r="D53" s="30" t="s">
        <v>72</v>
      </c>
      <c r="E53" s="29">
        <v>32.0</v>
      </c>
      <c r="F53" s="29">
        <v>8.0</v>
      </c>
      <c r="G53" s="31">
        <v>45446.0</v>
      </c>
      <c r="H53" s="37">
        <v>256.0</v>
      </c>
    </row>
    <row r="54">
      <c r="A54" s="29">
        <v>1049.0</v>
      </c>
      <c r="B54" s="30" t="s">
        <v>140</v>
      </c>
      <c r="C54" s="30" t="s">
        <v>57</v>
      </c>
      <c r="D54" s="30" t="s">
        <v>58</v>
      </c>
      <c r="E54" s="29">
        <v>12.0</v>
      </c>
      <c r="F54" s="29">
        <v>50.0</v>
      </c>
      <c r="G54" s="31">
        <v>45476.0</v>
      </c>
      <c r="H54" s="37">
        <v>600.0</v>
      </c>
    </row>
    <row r="55">
      <c r="A55" s="29">
        <v>1050.0</v>
      </c>
      <c r="B55" s="30" t="s">
        <v>141</v>
      </c>
      <c r="C55" s="30" t="s">
        <v>60</v>
      </c>
      <c r="D55" s="30" t="s">
        <v>61</v>
      </c>
      <c r="E55" s="29">
        <v>25.0</v>
      </c>
      <c r="F55" s="29">
        <v>10.0</v>
      </c>
      <c r="G55" s="31">
        <v>45507.0</v>
      </c>
      <c r="H55" s="37">
        <v>250.0</v>
      </c>
    </row>
  </sheetData>
  <mergeCells count="1">
    <mergeCell ref="A3:L3"/>
  </mergeCells>
  <drawing r:id="rId1"/>
</worksheet>
</file>