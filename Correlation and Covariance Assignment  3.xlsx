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39340c23117647/"/>
    </mc:Choice>
  </mc:AlternateContent>
  <xr:revisionPtr revIDLastSave="0" documentId="8_{26F22CE2-CD4C-4237-B099-15FC7371FBF1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  <sheet name="Q.9" sheetId="9" r:id="rId9"/>
    <sheet name="Q.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" i="10" l="1"/>
  <c r="A52" i="10"/>
  <c r="A47" i="10"/>
  <c r="A44" i="10"/>
  <c r="A40" i="10"/>
  <c r="A37" i="10"/>
  <c r="A33" i="10"/>
  <c r="A28" i="10"/>
  <c r="E22" i="10"/>
  <c r="E23" i="10"/>
  <c r="E24" i="10"/>
  <c r="E25" i="10"/>
  <c r="E21" i="10"/>
  <c r="D22" i="10"/>
  <c r="D23" i="10"/>
  <c r="D24" i="10"/>
  <c r="D25" i="10"/>
  <c r="D21" i="10"/>
  <c r="C22" i="10"/>
  <c r="C23" i="10"/>
  <c r="C24" i="10"/>
  <c r="C25" i="10"/>
  <c r="C21" i="10"/>
  <c r="A17" i="10"/>
  <c r="A14" i="10"/>
  <c r="A53" i="8"/>
  <c r="A51" i="8"/>
  <c r="A47" i="8"/>
  <c r="A44" i="8"/>
  <c r="A40" i="8"/>
  <c r="A38" i="8"/>
  <c r="A33" i="8"/>
  <c r="A29" i="8"/>
  <c r="E23" i="8"/>
  <c r="E24" i="8"/>
  <c r="E25" i="8"/>
  <c r="E26" i="8"/>
  <c r="E22" i="8"/>
  <c r="D23" i="8"/>
  <c r="D24" i="8"/>
  <c r="D25" i="8"/>
  <c r="D26" i="8"/>
  <c r="D22" i="8"/>
  <c r="C23" i="8"/>
  <c r="C24" i="8"/>
  <c r="C25" i="8"/>
  <c r="C26" i="8"/>
  <c r="C22" i="8"/>
  <c r="A19" i="8"/>
  <c r="A16" i="8"/>
  <c r="A58" i="7"/>
  <c r="A20" i="7"/>
  <c r="A17" i="7"/>
  <c r="B30" i="6"/>
  <c r="A32" i="6"/>
  <c r="B28" i="6"/>
  <c r="F24" i="6"/>
  <c r="F25" i="6"/>
  <c r="F26" i="6"/>
  <c r="F23" i="6"/>
  <c r="E24" i="6"/>
  <c r="E25" i="6"/>
  <c r="E26" i="6"/>
  <c r="E23" i="6"/>
  <c r="D24" i="6"/>
  <c r="D25" i="6"/>
  <c r="D26" i="6"/>
  <c r="D23" i="6"/>
  <c r="B20" i="6"/>
  <c r="B19" i="6"/>
  <c r="C24" i="7" l="1"/>
  <c r="C25" i="7"/>
  <c r="C26" i="7"/>
  <c r="C27" i="7"/>
  <c r="C23" i="7"/>
  <c r="D24" i="7"/>
  <c r="D25" i="7"/>
  <c r="D26" i="7"/>
  <c r="D27" i="7"/>
  <c r="D23" i="7"/>
  <c r="A47" i="7" s="1" a="1"/>
  <c r="A47" i="7" s="1"/>
  <c r="A50" i="7" s="1"/>
  <c r="A40" i="7" l="1" a="1"/>
  <c r="A40" i="7" s="1"/>
  <c r="A43" i="7" s="1"/>
  <c r="A56" i="7" s="1"/>
  <c r="B33" i="7"/>
  <c r="E23" i="7"/>
  <c r="E27" i="7"/>
  <c r="E26" i="7"/>
  <c r="E25" i="7"/>
  <c r="E24" i="7"/>
  <c r="A30" i="7" l="1"/>
  <c r="A3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<sst xmlns="http://schemas.openxmlformats.org/spreadsheetml/2006/main" count="263" uniqueCount="221">
  <si>
    <t xml:space="preserve">                                                      Assignment</t>
  </si>
  <si>
    <t xml:space="preserve">                                           Correlation and Covariance</t>
  </si>
  <si>
    <t>Q1. Define Covariance and explain how it differs from Correlation in terms of scale and interpretation.</t>
  </si>
  <si>
    <t>Answer:</t>
  </si>
  <si>
    <t>Covariance: Definition</t>
  </si>
  <si>
    <r>
      <rPr>
        <b/>
        <sz val="11"/>
        <color rgb="FF000000"/>
        <rFont val="Calibri"/>
        <scheme val="minor"/>
      </rPr>
      <t>Covariance</t>
    </r>
    <r>
      <rPr>
        <sz val="11"/>
        <color rgb="FF000000"/>
        <rFont val="Calibri"/>
        <scheme val="minor"/>
      </rPr>
      <t xml:space="preserve"> quantifies the degree to which two variables .</t>
    </r>
  </si>
  <si>
    <t>Formula:</t>
  </si>
  <si>
    <t>r= Cov(X,Y)/sigmaX.sigmaY</t>
  </si>
  <si>
    <t>Interpretation:</t>
  </si>
  <si>
    <t>Ranges between –1 and +1.</t>
  </si>
  <si>
    <t xml:space="preserve"> +1= Perfect positive linear relationship.</t>
  </si>
  <si>
    <t>–1 =Perfect negative linear relationship.</t>
  </si>
  <si>
    <t>0 = No linear relationship.</t>
  </si>
  <si>
    <t>nterpretation</t>
  </si>
  <si>
    <t>Aspect</t>
  </si>
  <si>
    <t>Covariance</t>
  </si>
  <si>
    <t>Correlation</t>
  </si>
  <si>
    <t>Scale dependency</t>
  </si>
  <si>
    <t>Depends on units of variables (kg, cm, etc.)</t>
  </si>
  <si>
    <t>Unit-free, standardized</t>
  </si>
  <si>
    <t>Range</t>
  </si>
  <si>
    <t>Unbounded (can be very large or small)</t>
  </si>
  <si>
    <t>Always between –1 and +1</t>
  </si>
  <si>
    <t>Interpretation</t>
  </si>
  <si>
    <t>Shows direction only (positive/negative)</t>
  </si>
  <si>
    <t>Shows both direction and strength</t>
  </si>
  <si>
    <t>Comparability</t>
  </si>
  <si>
    <t>Difficult across datasets</t>
  </si>
  <si>
    <t>Easy across datasets</t>
  </si>
  <si>
    <t>Example</t>
  </si>
  <si>
    <t>Dataset A: Height (cm) vs Weight (kg).</t>
  </si>
  <si>
    <t>Dataset B: Height (inches) vs Weight (pounds).</t>
  </si>
  <si>
    <r>
      <t>Covariance values differ</t>
    </r>
    <r>
      <rPr>
        <sz val="11"/>
        <color theme="1"/>
        <rFont val="Calibri"/>
        <family val="2"/>
        <scheme val="minor"/>
      </rPr>
      <t xml:space="preserve"> because of units.</t>
    </r>
  </si>
  <si>
    <r>
      <t>Correlation values remain the same</t>
    </r>
    <r>
      <rPr>
        <sz val="11"/>
        <color theme="1"/>
        <rFont val="Calibri"/>
        <family val="2"/>
        <scheme val="minor"/>
      </rPr>
      <t>, since correlation removes scale effects.</t>
    </r>
  </si>
  <si>
    <t>Q2. What does a positive, negative, and zero covariance indicate about the relationship between two variables?</t>
  </si>
  <si>
    <t>Positive Covariance</t>
  </si>
  <si>
    <t>When one variable increases, the other also tends to increase.</t>
  </si>
  <si>
    <t>When one decreases, the other also tends to decrease.</t>
  </si>
  <si>
    <r>
      <t>Example:</t>
    </r>
    <r>
      <rPr>
        <sz val="11"/>
        <color theme="1"/>
        <rFont val="Calibri"/>
        <family val="2"/>
        <scheme val="minor"/>
      </rPr>
      <t xml:space="preserve"> Height and weight → Taller people often weigh more.</t>
    </r>
  </si>
  <si>
    <t>Negative Covariance</t>
  </si>
  <si>
    <t>When one variable increases, the other tends to decrease.</t>
  </si>
  <si>
    <t>When one decreases, the other tends to increase.</t>
  </si>
  <si>
    <r>
      <t>Example:</t>
    </r>
    <r>
      <rPr>
        <sz val="11"/>
        <color theme="1"/>
        <rFont val="Calibri"/>
        <family val="2"/>
        <scheme val="minor"/>
      </rPr>
      <t xml:space="preserve"> Price of a product vs demand → Higher price → Lower demand.</t>
    </r>
  </si>
  <si>
    <t>Zero Covariance</t>
  </si>
  <si>
    <t>No consistent linear relationship between the variables.</t>
  </si>
  <si>
    <t>Changes in one variable do not predict changes in the other.</t>
  </si>
  <si>
    <r>
      <t>Example:</t>
    </r>
    <r>
      <rPr>
        <sz val="11"/>
        <color theme="1"/>
        <rFont val="Calibri"/>
        <family val="2"/>
        <scheme val="minor"/>
      </rPr>
      <t xml:space="preserve"> Shoe size vs exam scores → No logical connection.</t>
    </r>
  </si>
  <si>
    <t>Covariance Type</t>
  </si>
  <si>
    <t>What It Means</t>
  </si>
  <si>
    <t>Positive</t>
  </si>
  <si>
    <t>Variables move in same direction</t>
  </si>
  <si>
    <t>Height vs Weight</t>
  </si>
  <si>
    <t>Negative</t>
  </si>
  <si>
    <t>Variables move in opposite directions</t>
  </si>
  <si>
    <t>Price vs Demand</t>
  </si>
  <si>
    <t>Zero</t>
  </si>
  <si>
    <t>No linear relationship</t>
  </si>
  <si>
    <t>Shoe size vs Exam scores</t>
  </si>
  <si>
    <t>Q.3 Discuss the limitations of covariance as a measure of relationship between two variables. Why is correlation preferred in many cases?</t>
  </si>
  <si>
    <t>Limitations of Covariance</t>
  </si>
  <si>
    <t>Covariance tells us whether two variables move together, but it has several drawbacks:</t>
  </si>
  <si>
    <t>Scale-dependent</t>
  </si>
  <si>
    <t>The magnitude of covariance depends on the units of measurement.</t>
  </si>
  <si>
    <t>Example: Height in cm vs weight in kg will give a different covariance than height in inches vs weight in pounds, even if the relationship strength is the same.</t>
  </si>
  <si>
    <t>Unbounded values</t>
  </si>
  <si>
    <t>Covariance can take any value (positive, negative, large, small).</t>
  </si>
  <si>
    <t>This makes it hard to interpret or compare across datasets.</t>
  </si>
  <si>
    <t>No standardized measure of strength</t>
  </si>
  <si>
    <t>A large covariance doesn’t necessarily mean a strong relationship—it may just reflect large measurement scales.</t>
  </si>
  <si>
    <t>You only know the direction (positive/negative), not how strong the relationship is.</t>
  </si>
  <si>
    <t>Not easily comparable</t>
  </si>
  <si>
    <t>Because of scale issues, covariance values from different datasets cannot be directly compared.</t>
  </si>
  <si>
    <t>Why Correlation is Preferred</t>
  </si>
  <si>
    <r>
      <t xml:space="preserve">Correlation solves these problems by </t>
    </r>
    <r>
      <rPr>
        <b/>
        <sz val="11"/>
        <color theme="1"/>
        <rFont val="Calibri"/>
        <family val="2"/>
        <scheme val="minor"/>
      </rPr>
      <t>standardizing covariance</t>
    </r>
    <r>
      <rPr>
        <sz val="11"/>
        <color theme="1"/>
        <rFont val="Calibri"/>
        <family val="2"/>
        <scheme val="minor"/>
      </rPr>
      <t>:</t>
    </r>
  </si>
  <si>
    <t>Unit-free measure</t>
  </si>
  <si>
    <t>Correlation divides covariance by the product of standard deviations, removing scale effects.</t>
  </si>
  <si>
    <t>Bounded range</t>
  </si>
  <si>
    <t>Always lies between –1 and +1.</t>
  </si>
  <si>
    <t>Easy to interpret: closer to ±1 = stronger relationship, near 0 = weak/no linear relationship.</t>
  </si>
  <si>
    <t>Correlation values are directly comparable across datasets, regardless of units.</t>
  </si>
  <si>
    <t>Clear interpretation</t>
  </si>
  <si>
    <r>
      <t xml:space="preserve">Shows both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(positive/negative) and </t>
    </r>
    <r>
      <rPr>
        <b/>
        <sz val="11"/>
        <color theme="1"/>
        <rFont val="Calibri"/>
        <family val="2"/>
        <scheme val="minor"/>
      </rPr>
      <t>strength</t>
    </r>
    <r>
      <rPr>
        <sz val="11"/>
        <color theme="1"/>
        <rFont val="Calibri"/>
        <family val="2"/>
        <scheme val="minor"/>
      </rPr>
      <t xml:space="preserve"> of the relationship.</t>
    </r>
  </si>
  <si>
    <t>Covariance values differ because of units.</t>
  </si>
  <si>
    <t>Correlation values remain the same, showing the true strength of the relationship.</t>
  </si>
  <si>
    <t>Q4. Explain the difference between Pearson’s correlation coefficient and Spearman’s rank correlation coefficient. When would you prefer to use Spearman’s correlation?</t>
  </si>
  <si>
    <t>Pearson’s Correlation Coefficient (r)</t>
  </si>
  <si>
    <r>
      <t>Definition:</t>
    </r>
    <r>
      <rPr>
        <sz val="11"/>
        <color theme="1"/>
        <rFont val="Calibri"/>
        <family val="2"/>
        <scheme val="minor"/>
      </rPr>
      <t xml:space="preserve"> Measures the strength and direction of the </t>
    </r>
    <r>
      <rPr>
        <b/>
        <sz val="11"/>
        <color theme="1"/>
        <rFont val="Calibri"/>
        <family val="2"/>
        <scheme val="minor"/>
      </rPr>
      <t>linear relationship</t>
    </r>
    <r>
      <rPr>
        <sz val="11"/>
        <color theme="1"/>
        <rFont val="Calibri"/>
        <family val="2"/>
        <scheme val="minor"/>
      </rPr>
      <t xml:space="preserve"> between two continuous variables.</t>
    </r>
  </si>
  <si>
    <t>Assumptions:</t>
  </si>
  <si>
    <t>Variables are normally distributed.</t>
  </si>
  <si>
    <t>Relationship is linear.</t>
  </si>
  <si>
    <t>Sensitive to outliers.</t>
  </si>
  <si>
    <r>
      <t>Range:</t>
    </r>
    <r>
      <rPr>
        <sz val="11"/>
        <color theme="1"/>
        <rFont val="Calibri"/>
        <family val="2"/>
        <scheme val="minor"/>
      </rPr>
      <t xml:space="preserve"> –1 to +1.</t>
    </r>
  </si>
  <si>
    <t>+1 → Perfect positive linear relationship.</t>
  </si>
  <si>
    <t>–1 → Perfect negative linear relationship.</t>
  </si>
  <si>
    <t>0 → No linear relationship.</t>
  </si>
  <si>
    <t xml:space="preserve"> Spearman’s Rank Correlation Coefficient (ρ or rs)</t>
  </si>
  <si>
    <r>
      <t>Definition:</t>
    </r>
    <r>
      <rPr>
        <sz val="11"/>
        <color theme="1"/>
        <rFont val="Calibri"/>
        <family val="2"/>
        <scheme val="minor"/>
      </rPr>
      <t xml:space="preserve"> Measures the strength and direction of the </t>
    </r>
    <r>
      <rPr>
        <b/>
        <sz val="11"/>
        <color theme="1"/>
        <rFont val="Calibri"/>
        <family val="2"/>
        <scheme val="minor"/>
      </rPr>
      <t>monotonic relationship</t>
    </r>
    <r>
      <rPr>
        <sz val="11"/>
        <color theme="1"/>
        <rFont val="Calibri"/>
        <family val="2"/>
        <scheme val="minor"/>
      </rPr>
      <t xml:space="preserve"> between two variables using </t>
    </r>
    <r>
      <rPr>
        <b/>
        <sz val="11"/>
        <color theme="1"/>
        <rFont val="Calibri"/>
        <family val="2"/>
        <scheme val="minor"/>
      </rPr>
      <t>ranked data</t>
    </r>
    <r>
      <rPr>
        <sz val="11"/>
        <color theme="1"/>
        <rFont val="Calibri"/>
        <family val="2"/>
        <scheme val="minor"/>
      </rPr>
      <t>.</t>
    </r>
  </si>
  <si>
    <t>Does not require normal distribution.</t>
  </si>
  <si>
    <t>Works with ordinal data or non-linear monotonic relationships.</t>
  </si>
  <si>
    <t>Less sensitive to outliers because it uses ranks.</t>
  </si>
  <si>
    <r>
      <t>Interpretation:</t>
    </r>
    <r>
      <rPr>
        <sz val="11"/>
        <color theme="1"/>
        <rFont val="Calibri"/>
        <family val="2"/>
        <scheme val="minor"/>
      </rPr>
      <t xml:space="preserve"> Same as Pearson, but based on ranks rather than raw values.</t>
    </r>
  </si>
  <si>
    <t>Differences</t>
  </si>
  <si>
    <t>Pearson’s r</t>
  </si>
  <si>
    <t>Spearman’s ρ</t>
  </si>
  <si>
    <t>Data type</t>
  </si>
  <si>
    <t>Continuous, interval/ratio</t>
  </si>
  <si>
    <t>Ordinal or ranked</t>
  </si>
  <si>
    <t>Relationship measured</t>
  </si>
  <si>
    <t>Linear</t>
  </si>
  <si>
    <t>Monotonic (increasing/decreasing)</t>
  </si>
  <si>
    <t>Sensitivity</t>
  </si>
  <si>
    <t>Sensitive to outliers</t>
  </si>
  <si>
    <t>Less sensitive (uses ranks)</t>
  </si>
  <si>
    <t>Assumptions</t>
  </si>
  <si>
    <t>Normality, linearity</t>
  </si>
  <si>
    <t>No strict distribution assumptions</t>
  </si>
  <si>
    <t>Use case</t>
  </si>
  <si>
    <t>Exam scores vs study hours (linear)</t>
  </si>
  <si>
    <t>Customer satisfaction ranks vs service quality ranks (ordinal)</t>
  </si>
  <si>
    <t xml:space="preserve"> When to Prefer Spearman’s Correlation</t>
  </si>
  <si>
    <r>
      <t xml:space="preserve">When data are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(ranked categories).</t>
    </r>
  </si>
  <si>
    <r>
      <t xml:space="preserve">When the relationship is </t>
    </r>
    <r>
      <rPr>
        <b/>
        <sz val="11"/>
        <color theme="1"/>
        <rFont val="Calibri"/>
        <family val="2"/>
        <scheme val="minor"/>
      </rPr>
      <t>non-linear but monotonic</t>
    </r>
    <r>
      <rPr>
        <sz val="11"/>
        <color theme="1"/>
        <rFont val="Calibri"/>
        <family val="2"/>
        <scheme val="minor"/>
      </rPr>
      <t xml:space="preserve"> (e.g., as one variable increases, the other consistently increases or decreases, but not at a constant rate).</t>
    </r>
  </si>
  <si>
    <r>
      <t xml:space="preserve">When data contain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 xml:space="preserve"> that could distort Pearson’s correlation.</t>
    </r>
  </si>
  <si>
    <r>
      <t>Pearson’s r:</t>
    </r>
    <r>
      <rPr>
        <sz val="11"/>
        <color theme="1"/>
        <rFont val="Calibri"/>
        <family val="2"/>
        <scheme val="minor"/>
      </rPr>
      <t xml:space="preserve"> Relationship between height (cm) and weight (kg).</t>
    </r>
  </si>
  <si>
    <r>
      <t>Spearman’s ρ:</t>
    </r>
    <r>
      <rPr>
        <sz val="11"/>
        <color theme="1"/>
        <rFont val="Calibri"/>
        <family val="2"/>
        <scheme val="minor"/>
      </rPr>
      <t xml:space="preserve"> Relationship between students’ ranks in math and ranks in science exams.</t>
    </r>
  </si>
  <si>
    <t>Q5. If the correlation coefficient between two variables X and Y is 0.85, interpret this value in context. Can you infer causation from this value? Why or why not.</t>
  </si>
  <si>
    <t>nterpretation of r = 0.85</t>
  </si>
  <si>
    <r>
      <t>Strength:</t>
    </r>
    <r>
      <rPr>
        <sz val="11"/>
        <color theme="1"/>
        <rFont val="Calibri"/>
        <family val="2"/>
        <scheme val="minor"/>
      </rPr>
      <t xml:space="preserve"> 0.85 is close to +1 → indicates a </t>
    </r>
    <r>
      <rPr>
        <b/>
        <sz val="11"/>
        <color theme="1"/>
        <rFont val="Calibri"/>
        <family val="2"/>
        <scheme val="minor"/>
      </rPr>
      <t>strong positive linear relationship</t>
    </r>
    <r>
      <rPr>
        <sz val="11"/>
        <color theme="1"/>
        <rFont val="Calibri"/>
        <family val="2"/>
        <scheme val="minor"/>
      </rPr>
      <t>.</t>
    </r>
  </si>
  <si>
    <r>
      <t>Direction:</t>
    </r>
    <r>
      <rPr>
        <sz val="11"/>
        <color theme="1"/>
        <rFont val="Calibri"/>
        <family val="2"/>
        <scheme val="minor"/>
      </rPr>
      <t xml:space="preserve"> As X increases, Y also tends to increase.</t>
    </r>
  </si>
  <si>
    <r>
      <t>Meaning in context:</t>
    </r>
    <r>
      <rPr>
        <sz val="11"/>
        <color theme="1"/>
        <rFont val="Calibri"/>
        <family val="2"/>
        <scheme val="minor"/>
      </rPr>
      <t xml:space="preserve"> The two variables move together strongly. For example, if X = study hours and Y = exam scores, then more study hours are strongly associated with higher scores.</t>
    </r>
  </si>
  <si>
    <t>Can We Infer Causation?</t>
  </si>
  <si>
    <t>No — correlation does not imply causation.</t>
  </si>
  <si>
    <t>Column1</t>
  </si>
  <si>
    <t>Column2</t>
  </si>
  <si>
    <t>Here’s why:</t>
  </si>
  <si>
    <r>
      <t>Confounding variables:</t>
    </r>
    <r>
      <rPr>
        <sz val="11"/>
        <color theme="1"/>
        <rFont val="Calibri"/>
        <family val="2"/>
        <scheme val="minor"/>
      </rPr>
      <t xml:space="preserve"> A third factor may influence both X and Y.</t>
    </r>
  </si>
  <si>
    <t>Example: Ice cream sales and drowning incidents are correlated, but both are driven by hot weather.</t>
  </si>
  <si>
    <r>
      <t>Reverse causality:</t>
    </r>
    <r>
      <rPr>
        <sz val="11"/>
        <color theme="1"/>
        <rFont val="Calibri"/>
        <family val="2"/>
        <scheme val="minor"/>
      </rPr>
      <t xml:space="preserve"> The direction of influence may be opposite.</t>
    </r>
  </si>
  <si>
    <t>Example: Higher stress may reduce sleep, but poor sleep may also increase stress.</t>
  </si>
  <si>
    <r>
      <t>Coincidence:</t>
    </r>
    <r>
      <rPr>
        <sz val="11"/>
        <color theme="1"/>
        <rFont val="Calibri"/>
        <family val="2"/>
        <scheme val="minor"/>
      </rPr>
      <t xml:space="preserve"> Sometimes variables align by chance without a causal link.</t>
    </r>
  </si>
  <si>
    <t>Q6. Using the dataset below, calculate the covariance between X and Y.</t>
  </si>
  <si>
    <t xml:space="preserve">                                                                                                X </t>
  </si>
  <si>
    <t xml:space="preserve">                                                                                               Y</t>
  </si>
  <si>
    <t xml:space="preserve"> formula</t>
  </si>
  <si>
    <t>Cov(X,Y)=∑(Xi−X)(Yi−Y)/n−1</t>
  </si>
  <si>
    <t>Where:</t>
  </si>
  <si>
    <t>Xi,Y = data points</t>
  </si>
  <si>
    <t>Xj,Y = means of X and Y</t>
  </si>
  <si>
    <t>n = number of observations</t>
  </si>
  <si>
    <t>X=2+4+6+8/4=20/4=5</t>
  </si>
  <si>
    <t>Y=3+7+5+10/4=25/4=6.25</t>
  </si>
  <si>
    <t>Xi-X</t>
  </si>
  <si>
    <t>Yi-Y</t>
  </si>
  <si>
    <t>Product</t>
  </si>
  <si>
    <t>(Samission)(Xi−X)(Yi−Y)</t>
  </si>
  <si>
    <t>Calculate covariance</t>
  </si>
  <si>
    <t>Cov(X,Y)=19/n−1</t>
  </si>
  <si>
    <r>
      <t xml:space="preserve">The </t>
    </r>
    <r>
      <rPr>
        <b/>
        <sz val="11"/>
        <color theme="1"/>
        <rFont val="Calibri"/>
        <family val="2"/>
        <scheme val="minor"/>
      </rPr>
      <t>covariance between X and Y = 6.33</t>
    </r>
    <r>
      <rPr>
        <sz val="11"/>
        <color theme="1"/>
        <rFont val="Calibri"/>
        <family val="2"/>
        <scheme val="minor"/>
      </rPr>
      <t>.</t>
    </r>
  </si>
  <si>
    <t>Q7. Compute the Pearson correlation coefficient between variables A and B:</t>
  </si>
  <si>
    <t xml:space="preserve">                                                                                                 A</t>
  </si>
  <si>
    <t xml:space="preserve">                          B</t>
  </si>
  <si>
    <t>formula</t>
  </si>
  <si>
    <t>r=Cov(A,B)/σA⋅σB</t>
  </si>
  <si>
    <t>A=</t>
  </si>
  <si>
    <t>B =</t>
  </si>
  <si>
    <t>A</t>
  </si>
  <si>
    <t>B</t>
  </si>
  <si>
    <t>Ai-A</t>
  </si>
  <si>
    <t>Bi-B</t>
  </si>
  <si>
    <t>∑(Ai−A)(Bi−B)=</t>
  </si>
  <si>
    <t>Cov(A,B)=500/n−1</t>
  </si>
  <si>
    <t>Standard deviations</t>
  </si>
  <si>
    <t>For A:</t>
  </si>
  <si>
    <t>∑(Ai−A)^2</t>
  </si>
  <si>
    <t>σA=</t>
  </si>
  <si>
    <t>For B:</t>
  </si>
  <si>
    <t>∑(Bi−B)^2</t>
  </si>
  <si>
    <t xml:space="preserve">
𝜎𝐵=</t>
  </si>
  <si>
    <t>or 7.93</t>
  </si>
  <si>
    <t>Correlation coefficient</t>
  </si>
  <si>
    <t>125/15.81*7.93</t>
  </si>
  <si>
    <t>7.93*15.81=</t>
  </si>
  <si>
    <t>orrelation coefficient (r) =  0.997</t>
  </si>
  <si>
    <t>Q.8 The following table shows heights (in cm) and weights (in kg) of 5 students. 
Find the correlation coefficient between Height and Weight.</t>
  </si>
  <si>
    <t xml:space="preserve">                                                                                              Height</t>
  </si>
  <si>
    <t xml:space="preserve">                   Weight</t>
  </si>
  <si>
    <t>Answer</t>
  </si>
  <si>
    <t>r = Cov(X,Y)/σX . σY</t>
  </si>
  <si>
    <t>Calculate means</t>
  </si>
  <si>
    <t>X= total height/no. of student</t>
  </si>
  <si>
    <t>Weight(Y)=</t>
  </si>
  <si>
    <t xml:space="preserve">                                                          X</t>
  </si>
  <si>
    <t xml:space="preserve">     Y</t>
  </si>
  <si>
    <t>∑(Xi−X)(Yi−Y)=</t>
  </si>
  <si>
    <t>Cov(X,Y)=335/n−1</t>
  </si>
  <si>
    <t>For X (Height):</t>
  </si>
  <si>
    <t>∑(Xi−X)2</t>
  </si>
  <si>
    <t xml:space="preserve">𝜎X=
</t>
  </si>
  <si>
    <t>For Y (Weight):</t>
  </si>
  <si>
    <t>∑(Yi−Y)2=</t>
  </si>
  <si>
    <t>σY=</t>
  </si>
  <si>
    <t>r= 83.75/11.18*7.55</t>
  </si>
  <si>
    <r>
      <rPr>
        <b/>
        <sz val="11"/>
        <color rgb="FF000000"/>
        <rFont val="Calibri"/>
      </rPr>
      <t>earson correlation coefficient (r) ≈ 0.99218437</t>
    </r>
    <r>
      <rPr>
        <sz val="11"/>
        <color rgb="FF000000"/>
        <rFont val="Calibri"/>
      </rPr>
      <t xml:space="preserve">, which indicates an </t>
    </r>
    <r>
      <rPr>
        <b/>
        <sz val="11"/>
        <color rgb="FF000000"/>
        <rFont val="Calibri"/>
      </rPr>
      <t>extremely strong positive linear relationship</t>
    </r>
    <r>
      <rPr>
        <sz val="11"/>
        <color rgb="FF000000"/>
        <rFont val="Calibri"/>
      </rPr>
      <t xml:space="preserve"> between height and weight.</t>
    </r>
  </si>
  <si>
    <t>Q.9   Given the dataset below, determine whether there is a positive or negative correlation between X and Y. 
(No need for exact calculation, just reasoning.)</t>
  </si>
  <si>
    <t xml:space="preserve">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</si>
  <si>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X</t>
  </si>
  <si>
    <t>Y</t>
  </si>
  <si>
    <t xml:space="preserve">
As X increases (from 1 - 5), Y decreases (from 15 - 3).
This means the two variables move in opposite directions.
#The correlation between X and Y is negative.
#In context: Higher values of X are associated with lower values of Y.</t>
  </si>
  <si>
    <t>Q10. Two investment portfolios have the following returns (%) over 5 years. Compute the covariance and correlation coefficient, and interpret whether the portfolios move together.</t>
  </si>
  <si>
    <t xml:space="preserve">                                                                                          Year </t>
  </si>
  <si>
    <t>Portfolio A</t>
  </si>
  <si>
    <t>Portfolio B</t>
  </si>
  <si>
    <t>B=</t>
  </si>
  <si>
    <t>Compute deviations and products</t>
  </si>
  <si>
    <t>Cov(A,B)=12/n-1</t>
  </si>
  <si>
    <t>Summission(Ai−A)^2=</t>
  </si>
  <si>
    <t>∑(Bi−B)^2=</t>
  </si>
  <si>
    <t>σB=</t>
  </si>
  <si>
    <t>r=Cov(A,B)/σA⋅σB=3/1.58113883*1.923538406</t>
  </si>
  <si>
    <t>Covariance = 3.041381265</t>
  </si>
  <si>
    <t>Correlation coefficient (r) ≈ 0.996393924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</si>
</sst>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0" fillId="2" borderId="0" xfId="0" quotePrefix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6" fillId="2" borderId="0" xfId="0" applyFont="1" applyFill="1" applyAlignment="1">
      <alignment wrapText="1"/>
    </xf>
    <xf numFmtId="0" fontId="0" fillId="5" borderId="0" xfId="0" applyFill="1"/>
    <xf numFmtId="0" fontId="3" fillId="6" borderId="0" xfId="0" applyFont="1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7" fillId="6" borderId="0" xfId="0" applyFont="1" applyFill="1"/>
    <xf numFmtId="0" fontId="3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8" fillId="6" borderId="0" xfId="0" applyFont="1" applyFill="1" applyAlignment="1">
      <alignment wrapText="1"/>
    </xf>
    <xf numFmtId="0" fontId="0" fillId="7" borderId="0" xfId="0" applyFill="1"/>
    <xf numFmtId="0" fontId="9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10" fillId="6" borderId="0" xfId="0" applyFont="1" applyFill="1"/>
    <xf numFmtId="0" fontId="0" fillId="6" borderId="0" xfId="0" quotePrefix="1" applyFill="1" applyAlignment="1">
      <alignment wrapText="1"/>
    </xf>
    <xf numFmtId="0" fontId="0" fillId="8" borderId="0" xfId="0" applyFill="1"/>
    <xf numFmtId="0" fontId="3" fillId="8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0" fillId="8" borderId="1" xfId="0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0" fillId="8" borderId="1" xfId="0" applyFill="1" applyBorder="1"/>
    <xf numFmtId="0" fontId="0" fillId="8" borderId="7" xfId="0" applyFill="1" applyBorder="1" applyAlignment="1">
      <alignment wrapText="1"/>
    </xf>
    <xf numFmtId="0" fontId="3" fillId="8" borderId="7" xfId="0" applyFont="1" applyFill="1" applyBorder="1" applyAlignment="1">
      <alignment wrapText="1"/>
    </xf>
    <xf numFmtId="0" fontId="0" fillId="8" borderId="7" xfId="0" applyFill="1" applyBorder="1"/>
    <xf numFmtId="0" fontId="0" fillId="6" borderId="1" xfId="0" applyFill="1" applyBorder="1"/>
    <xf numFmtId="0" fontId="0" fillId="9" borderId="0" xfId="0" applyFill="1"/>
    <xf numFmtId="0" fontId="0" fillId="10" borderId="1" xfId="0" applyFill="1" applyBorder="1" applyAlignment="1">
      <alignment wrapText="1"/>
    </xf>
    <xf numFmtId="0" fontId="0" fillId="10" borderId="0" xfId="0" applyFill="1"/>
    <xf numFmtId="0" fontId="0" fillId="10" borderId="1" xfId="0" applyFill="1" applyBorder="1"/>
    <xf numFmtId="0" fontId="0" fillId="11" borderId="0" xfId="0" applyFill="1"/>
    <xf numFmtId="0" fontId="0" fillId="12" borderId="1" xfId="0" applyFill="1" applyBorder="1"/>
    <xf numFmtId="0" fontId="2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2" fillId="13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13" borderId="0" xfId="0" applyFill="1"/>
    <xf numFmtId="0" fontId="0" fillId="14" borderId="0" xfId="0" applyFill="1"/>
    <xf numFmtId="0" fontId="0" fillId="7" borderId="0" xfId="0" applyFill="1" applyAlignment="1">
      <alignment wrapText="1"/>
    </xf>
    <xf numFmtId="0" fontId="0" fillId="7" borderId="1" xfId="0" applyFill="1" applyBorder="1"/>
    <xf numFmtId="0" fontId="0" fillId="15" borderId="0" xfId="0" applyFill="1"/>
    <xf numFmtId="0" fontId="0" fillId="16" borderId="0" xfId="0" applyFill="1"/>
    <xf numFmtId="0" fontId="0" fillId="17" borderId="1" xfId="0" applyFill="1" applyBorder="1"/>
    <xf numFmtId="0" fontId="0" fillId="18" borderId="0" xfId="0" applyFill="1"/>
    <xf numFmtId="0" fontId="0" fillId="19" borderId="0" xfId="0" applyFill="1" applyAlignment="1">
      <alignment wrapText="1"/>
    </xf>
    <xf numFmtId="0" fontId="0" fillId="19" borderId="0" xfId="0" applyFill="1"/>
    <xf numFmtId="0" fontId="3" fillId="19" borderId="0" xfId="0" applyFont="1" applyFill="1" applyAlignment="1">
      <alignment wrapText="1"/>
    </xf>
    <xf numFmtId="0" fontId="0" fillId="20" borderId="0" xfId="0" applyFill="1"/>
    <xf numFmtId="0" fontId="0" fillId="11" borderId="0" xfId="0" applyFill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3" borderId="0" xfId="0" applyFill="1"/>
    <xf numFmtId="0" fontId="0" fillId="0" borderId="0" xfId="0" applyBorder="1"/>
    <xf numFmtId="0" fontId="11" fillId="11" borderId="0" xfId="0" applyFont="1" applyFill="1" applyAlignment="1">
      <alignment wrapText="1"/>
    </xf>
    <xf numFmtId="0" fontId="0" fillId="21" borderId="0" xfId="0" applyFill="1"/>
    <xf numFmtId="0" fontId="0" fillId="21" borderId="0" xfId="0" applyFill="1" applyAlignment="1">
      <alignment wrapText="1"/>
    </xf>
    <xf numFmtId="0" fontId="2" fillId="21" borderId="0" xfId="0" applyFont="1" applyFill="1" applyAlignment="1">
      <alignment wrapText="1"/>
    </xf>
    <xf numFmtId="0" fontId="0" fillId="22" borderId="1" xfId="0" applyFill="1" applyBorder="1"/>
    <xf numFmtId="0" fontId="3" fillId="7" borderId="0" xfId="0" applyFont="1" applyFill="1" applyAlignment="1">
      <alignment wrapText="1"/>
    </xf>
    <xf numFmtId="0" fontId="0" fillId="7" borderId="0" xfId="0" applyFill="1" applyBorder="1"/>
    <xf numFmtId="0" fontId="0" fillId="7" borderId="1" xfId="0" applyFill="1" applyBorder="1" applyAlignment="1">
      <alignment wrapText="1"/>
    </xf>
    <xf numFmtId="0" fontId="0" fillId="23" borderId="1" xfId="0" applyFill="1" applyBorder="1"/>
    <xf numFmtId="0" fontId="0" fillId="2" borderId="1" xfId="0" applyFill="1" applyBorder="1"/>
    <xf numFmtId="0" fontId="13" fillId="2" borderId="1" xfId="0" applyFont="1" applyFill="1" applyBorder="1"/>
    <xf numFmtId="0" fontId="9" fillId="2" borderId="0" xfId="0" applyFont="1" applyFill="1" applyAlignment="1">
      <alignment wrapText="1"/>
    </xf>
  </cellXfs>
  <cellStyles count="1">
    <cellStyle name="Normal" xfId="0" builtinId="0"/>
  </cellStyles>
  <dxfs count="12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1AC4F-70A6-4FD2-8920-6684885D7608}" name="Table2" displayName="Table2" ref="A14:C20" totalsRowShown="0" headerRowDxfId="11" dataDxfId="10" tableBorderDxfId="9">
  <autoFilter ref="A14:C20" xr:uid="{E281AC4F-70A6-4FD2-8920-6684885D7608}"/>
  <tableColumns count="3">
    <tableColumn id="1" xr3:uid="{240F44CC-BDB1-4CD4-BFC8-B10816F3D6C3}" name="No — correlation does not imply causation." dataDxfId="8"/>
    <tableColumn id="2" xr3:uid="{F7A2B3D1-1935-4B4C-A36E-1903775F08CB}" name="Column1" dataDxfId="7"/>
    <tableColumn id="3" xr3:uid="{54427BC8-523B-4355-BA4B-1D5597EF77F6}" name="Column2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CA43B3-A515-4D60-94A3-2B748E52C1E2}" name="Table3" displayName="Table3" ref="A3:B8" totalsRowShown="0" headerRowDxfId="5" headerRowBorderDxfId="4" tableBorderDxfId="3" totalsRowBorderDxfId="2">
  <autoFilter ref="A3:B8" xr:uid="{EBCA43B3-A515-4D60-94A3-2B748E52C1E2}"/>
  <tableColumns count="2">
    <tableColumn id="1" xr3:uid="{CB3409CD-D807-455B-B8A8-BA45BDE89DDE}" name="                                                                                              Height" dataDxfId="1"/>
    <tableColumn id="2" xr3:uid="{BCDCB5DB-9C15-4C55-A2AA-4803080CC63D}" name="                   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8" sqref="A8:C35"/>
    </sheetView>
  </sheetViews>
  <sheetFormatPr defaultRowHeight="15" x14ac:dyDescent="0.25"/>
  <cols>
    <col min="1" max="1" width="82.140625" customWidth="1"/>
    <col min="2" max="2" width="23.28515625" customWidth="1"/>
    <col min="3" max="3" width="28.5703125" customWidth="1"/>
  </cols>
  <sheetData>
    <row r="1" spans="1:3" ht="21" x14ac:dyDescent="0.35">
      <c r="A1" s="1" t="s">
        <v>0</v>
      </c>
    </row>
    <row r="2" spans="1:3" ht="21" x14ac:dyDescent="0.35">
      <c r="A2" s="1" t="s">
        <v>1</v>
      </c>
    </row>
    <row r="4" spans="1:3" ht="30" x14ac:dyDescent="0.25">
      <c r="A4" s="3" t="s">
        <v>2</v>
      </c>
    </row>
    <row r="6" spans="1:3" x14ac:dyDescent="0.25">
      <c r="A6" s="4" t="s">
        <v>3</v>
      </c>
    </row>
    <row r="8" spans="1:3" x14ac:dyDescent="0.25">
      <c r="A8" s="6" t="s">
        <v>4</v>
      </c>
      <c r="B8" s="7"/>
      <c r="C8" s="7"/>
    </row>
    <row r="9" spans="1:3" x14ac:dyDescent="0.25">
      <c r="A9" s="6" t="s">
        <v>5</v>
      </c>
      <c r="B9" s="7"/>
      <c r="C9" s="7"/>
    </row>
    <row r="10" spans="1:3" x14ac:dyDescent="0.25">
      <c r="A10" s="8" t="s">
        <v>6</v>
      </c>
      <c r="B10" s="7"/>
      <c r="C10" s="7"/>
    </row>
    <row r="11" spans="1:3" x14ac:dyDescent="0.25">
      <c r="A11" s="8"/>
      <c r="B11" s="7"/>
      <c r="C11" s="7"/>
    </row>
    <row r="12" spans="1:3" x14ac:dyDescent="0.25">
      <c r="A12" s="8" t="s">
        <v>7</v>
      </c>
      <c r="B12" s="7"/>
      <c r="C12" s="7"/>
    </row>
    <row r="13" spans="1:3" x14ac:dyDescent="0.25">
      <c r="A13" s="9" t="s">
        <v>8</v>
      </c>
      <c r="B13" s="7"/>
      <c r="C13" s="7"/>
    </row>
    <row r="14" spans="1:3" x14ac:dyDescent="0.25">
      <c r="A14" s="7"/>
      <c r="B14" s="7"/>
      <c r="C14" s="7"/>
    </row>
    <row r="15" spans="1:3" x14ac:dyDescent="0.25">
      <c r="A15" s="8" t="s">
        <v>9</v>
      </c>
      <c r="B15" s="7"/>
      <c r="C15" s="7"/>
    </row>
    <row r="16" spans="1:3" x14ac:dyDescent="0.25">
      <c r="A16" s="10" t="s">
        <v>10</v>
      </c>
      <c r="B16" s="7"/>
      <c r="C16" s="7"/>
    </row>
    <row r="17" spans="1:3" x14ac:dyDescent="0.25">
      <c r="A17" s="8" t="s">
        <v>11</v>
      </c>
      <c r="B17" s="7"/>
      <c r="C17" s="7"/>
    </row>
    <row r="18" spans="1:3" x14ac:dyDescent="0.25">
      <c r="A18" s="8" t="s">
        <v>12</v>
      </c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ht="18" x14ac:dyDescent="0.3">
      <c r="A21" s="11" t="s">
        <v>13</v>
      </c>
      <c r="B21" s="7"/>
      <c r="C21" s="7"/>
    </row>
    <row r="22" spans="1:3" ht="18" x14ac:dyDescent="0.3">
      <c r="A22" s="11"/>
      <c r="B22" s="7"/>
      <c r="C22" s="7"/>
    </row>
    <row r="23" spans="1:3" x14ac:dyDescent="0.25">
      <c r="A23" s="12" t="s">
        <v>14</v>
      </c>
      <c r="B23" s="12" t="s">
        <v>15</v>
      </c>
      <c r="C23" s="12" t="s">
        <v>16</v>
      </c>
    </row>
    <row r="24" spans="1:3" ht="30" x14ac:dyDescent="0.25">
      <c r="A24" s="12" t="s">
        <v>17</v>
      </c>
      <c r="B24" s="13" t="s">
        <v>18</v>
      </c>
      <c r="C24" s="13" t="s">
        <v>19</v>
      </c>
    </row>
    <row r="25" spans="1:3" ht="30" x14ac:dyDescent="0.25">
      <c r="A25" s="12" t="s">
        <v>20</v>
      </c>
      <c r="B25" s="13" t="s">
        <v>21</v>
      </c>
      <c r="C25" s="13" t="s">
        <v>22</v>
      </c>
    </row>
    <row r="26" spans="1:3" ht="30" x14ac:dyDescent="0.25">
      <c r="A26" s="12" t="s">
        <v>23</v>
      </c>
      <c r="B26" s="13" t="s">
        <v>24</v>
      </c>
      <c r="C26" s="13" t="s">
        <v>25</v>
      </c>
    </row>
    <row r="27" spans="1:3" x14ac:dyDescent="0.25">
      <c r="A27" s="12" t="s">
        <v>26</v>
      </c>
      <c r="B27" s="13" t="s">
        <v>27</v>
      </c>
      <c r="C27" s="13" t="s">
        <v>28</v>
      </c>
    </row>
    <row r="28" spans="1:3" x14ac:dyDescent="0.25">
      <c r="A28" s="14"/>
      <c r="B28" s="15"/>
      <c r="C28" s="15"/>
    </row>
    <row r="29" spans="1:3" ht="15.75" x14ac:dyDescent="0.25">
      <c r="A29" s="16" t="s">
        <v>29</v>
      </c>
      <c r="B29" s="7"/>
      <c r="C29" s="7"/>
    </row>
    <row r="30" spans="1:3" ht="18" x14ac:dyDescent="0.3">
      <c r="A30" s="11"/>
      <c r="B30" s="7"/>
      <c r="C30" s="7"/>
    </row>
    <row r="31" spans="1:3" x14ac:dyDescent="0.25">
      <c r="A31" s="8" t="s">
        <v>30</v>
      </c>
      <c r="B31" s="7"/>
      <c r="C31" s="7"/>
    </row>
    <row r="32" spans="1:3" x14ac:dyDescent="0.25">
      <c r="A32" s="8" t="s">
        <v>31</v>
      </c>
      <c r="B32" s="7"/>
      <c r="C32" s="7"/>
    </row>
    <row r="33" spans="1:3" x14ac:dyDescent="0.25">
      <c r="A33" s="9" t="s">
        <v>32</v>
      </c>
      <c r="B33" s="7"/>
      <c r="C33" s="7"/>
    </row>
    <row r="34" spans="1:3" x14ac:dyDescent="0.25">
      <c r="A34" s="9" t="s">
        <v>33</v>
      </c>
      <c r="B34" s="7"/>
      <c r="C34" s="7"/>
    </row>
    <row r="35" spans="1:3" x14ac:dyDescent="0.25">
      <c r="A35" s="7"/>
      <c r="B35" s="7"/>
      <c r="C3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0FA0-6FDB-4B73-AEE8-2623AF0578AF}">
  <dimension ref="A1:C32"/>
  <sheetViews>
    <sheetView workbookViewId="0">
      <selection activeCell="A5" sqref="A5:C32"/>
    </sheetView>
  </sheetViews>
  <sheetFormatPr defaultRowHeight="15" x14ac:dyDescent="0.25"/>
  <cols>
    <col min="1" max="1" width="65" customWidth="1"/>
    <col min="2" max="2" width="24.28515625" customWidth="1"/>
    <col min="3" max="3" width="19.42578125" customWidth="1"/>
  </cols>
  <sheetData>
    <row r="1" spans="1:3" ht="30" x14ac:dyDescent="0.25">
      <c r="A1" s="8" t="s">
        <v>34</v>
      </c>
    </row>
    <row r="3" spans="1:3" x14ac:dyDescent="0.25">
      <c r="A3" s="17" t="s">
        <v>3</v>
      </c>
    </row>
    <row r="5" spans="1:3" x14ac:dyDescent="0.25">
      <c r="A5" s="18" t="s">
        <v>35</v>
      </c>
      <c r="B5" s="19"/>
      <c r="C5" s="19"/>
    </row>
    <row r="6" spans="1:3" x14ac:dyDescent="0.25">
      <c r="A6" s="20" t="s">
        <v>36</v>
      </c>
      <c r="B6" s="19"/>
      <c r="C6" s="19"/>
    </row>
    <row r="7" spans="1:3" x14ac:dyDescent="0.25">
      <c r="A7" s="20" t="s">
        <v>37</v>
      </c>
      <c r="B7" s="19"/>
      <c r="C7" s="19"/>
    </row>
    <row r="8" spans="1:3" x14ac:dyDescent="0.25">
      <c r="A8" s="20"/>
      <c r="B8" s="19"/>
      <c r="C8" s="19"/>
    </row>
    <row r="9" spans="1:3" x14ac:dyDescent="0.25">
      <c r="A9" s="18" t="s">
        <v>38</v>
      </c>
      <c r="B9" s="19"/>
      <c r="C9" s="19"/>
    </row>
    <row r="10" spans="1:3" x14ac:dyDescent="0.25">
      <c r="A10" s="18"/>
      <c r="B10" s="19"/>
      <c r="C10" s="19"/>
    </row>
    <row r="11" spans="1:3" x14ac:dyDescent="0.25">
      <c r="A11" s="18" t="s">
        <v>39</v>
      </c>
      <c r="B11" s="19"/>
      <c r="C11" s="19"/>
    </row>
    <row r="12" spans="1:3" x14ac:dyDescent="0.25">
      <c r="A12" s="20" t="s">
        <v>40</v>
      </c>
      <c r="B12" s="19"/>
      <c r="C12" s="19"/>
    </row>
    <row r="13" spans="1:3" x14ac:dyDescent="0.25">
      <c r="A13" s="20" t="s">
        <v>41</v>
      </c>
      <c r="B13" s="19"/>
      <c r="C13" s="19"/>
    </row>
    <row r="14" spans="1:3" ht="30" x14ac:dyDescent="0.25">
      <c r="A14" s="18" t="s">
        <v>42</v>
      </c>
      <c r="B14" s="19"/>
      <c r="C14" s="19"/>
    </row>
    <row r="15" spans="1:3" x14ac:dyDescent="0.25">
      <c r="A15" s="18"/>
      <c r="B15" s="19"/>
      <c r="C15" s="19"/>
    </row>
    <row r="16" spans="1:3" x14ac:dyDescent="0.25">
      <c r="A16" s="18"/>
      <c r="B16" s="19"/>
      <c r="C16" s="19"/>
    </row>
    <row r="17" spans="1:3" x14ac:dyDescent="0.25">
      <c r="A17" s="18"/>
      <c r="B17" s="19"/>
      <c r="C17" s="19"/>
    </row>
    <row r="18" spans="1:3" x14ac:dyDescent="0.25">
      <c r="A18" s="18"/>
      <c r="B18" s="19"/>
      <c r="C18" s="19"/>
    </row>
    <row r="19" spans="1:3" x14ac:dyDescent="0.25">
      <c r="A19" s="21" t="s">
        <v>43</v>
      </c>
      <c r="B19" s="19"/>
      <c r="C19" s="19"/>
    </row>
    <row r="20" spans="1:3" x14ac:dyDescent="0.25">
      <c r="A20" s="20" t="s">
        <v>44</v>
      </c>
      <c r="B20" s="19"/>
      <c r="C20" s="19"/>
    </row>
    <row r="21" spans="1:3" x14ac:dyDescent="0.25">
      <c r="A21" s="20" t="s">
        <v>45</v>
      </c>
      <c r="B21" s="19"/>
      <c r="C21" s="19"/>
    </row>
    <row r="22" spans="1:3" x14ac:dyDescent="0.25">
      <c r="A22" s="20"/>
      <c r="B22" s="19"/>
      <c r="C22" s="19"/>
    </row>
    <row r="23" spans="1:3" x14ac:dyDescent="0.25">
      <c r="A23" s="18" t="s">
        <v>46</v>
      </c>
      <c r="B23" s="19"/>
      <c r="C23" s="19"/>
    </row>
    <row r="24" spans="1:3" x14ac:dyDescent="0.25">
      <c r="A24" s="19"/>
      <c r="B24" s="19"/>
      <c r="C24" s="19"/>
    </row>
    <row r="25" spans="1:3" x14ac:dyDescent="0.25">
      <c r="A25" s="19"/>
      <c r="B25" s="19"/>
      <c r="C25" s="19"/>
    </row>
    <row r="26" spans="1:3" x14ac:dyDescent="0.25">
      <c r="A26" s="22" t="s">
        <v>47</v>
      </c>
      <c r="B26" s="22" t="s">
        <v>48</v>
      </c>
      <c r="C26" s="22" t="s">
        <v>29</v>
      </c>
    </row>
    <row r="27" spans="1:3" ht="30" x14ac:dyDescent="0.25">
      <c r="A27" s="22" t="s">
        <v>49</v>
      </c>
      <c r="B27" s="23" t="s">
        <v>50</v>
      </c>
      <c r="C27" s="23" t="s">
        <v>51</v>
      </c>
    </row>
    <row r="28" spans="1:3" ht="30" x14ac:dyDescent="0.25">
      <c r="A28" s="22" t="s">
        <v>52</v>
      </c>
      <c r="B28" s="23" t="s">
        <v>53</v>
      </c>
      <c r="C28" s="23" t="s">
        <v>54</v>
      </c>
    </row>
    <row r="29" spans="1:3" ht="30" x14ac:dyDescent="0.25">
      <c r="A29" s="22" t="s">
        <v>55</v>
      </c>
      <c r="B29" s="23" t="s">
        <v>56</v>
      </c>
      <c r="C29" s="23" t="s">
        <v>57</v>
      </c>
    </row>
    <row r="30" spans="1:3" x14ac:dyDescent="0.25">
      <c r="A30" s="19"/>
      <c r="B30" s="19"/>
      <c r="C30" s="19"/>
    </row>
    <row r="31" spans="1:3" x14ac:dyDescent="0.25">
      <c r="A31" s="19"/>
      <c r="B31" s="19"/>
      <c r="C31" s="19"/>
    </row>
    <row r="32" spans="1:3" x14ac:dyDescent="0.25">
      <c r="A32" s="19"/>
      <c r="B32" s="19"/>
      <c r="C3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04-00CE-4253-BEB6-EC172C166A66}">
  <dimension ref="A1:C39"/>
  <sheetViews>
    <sheetView topLeftCell="A24" workbookViewId="0">
      <selection activeCell="A27" sqref="A27"/>
    </sheetView>
  </sheetViews>
  <sheetFormatPr defaultRowHeight="15" x14ac:dyDescent="0.25"/>
  <cols>
    <col min="1" max="1" width="78.140625" customWidth="1"/>
    <col min="2" max="2" width="18.28515625" customWidth="1"/>
    <col min="3" max="3" width="24.28515625" customWidth="1"/>
  </cols>
  <sheetData>
    <row r="1" spans="1:3" ht="31.5" x14ac:dyDescent="0.25">
      <c r="A1" s="24" t="s">
        <v>58</v>
      </c>
    </row>
    <row r="3" spans="1:3" x14ac:dyDescent="0.25">
      <c r="A3" s="25" t="s">
        <v>3</v>
      </c>
    </row>
    <row r="5" spans="1:3" x14ac:dyDescent="0.25">
      <c r="A5" s="18" t="s">
        <v>59</v>
      </c>
      <c r="B5" s="19"/>
      <c r="C5" s="19"/>
    </row>
    <row r="6" spans="1:3" ht="30" x14ac:dyDescent="0.25">
      <c r="A6" s="20" t="s">
        <v>60</v>
      </c>
      <c r="B6" s="19"/>
      <c r="C6" s="19"/>
    </row>
    <row r="7" spans="1:3" x14ac:dyDescent="0.25">
      <c r="A7" s="20">
        <v>1</v>
      </c>
      <c r="B7" s="18" t="s">
        <v>61</v>
      </c>
      <c r="C7" s="19"/>
    </row>
    <row r="8" spans="1:3" ht="60" x14ac:dyDescent="0.25">
      <c r="A8" s="19"/>
      <c r="B8" s="19"/>
      <c r="C8" s="20" t="s">
        <v>62</v>
      </c>
    </row>
    <row r="9" spans="1:3" ht="105" x14ac:dyDescent="0.25">
      <c r="A9" s="19"/>
      <c r="B9" s="19"/>
      <c r="C9" s="20" t="s">
        <v>63</v>
      </c>
    </row>
    <row r="10" spans="1:3" x14ac:dyDescent="0.25">
      <c r="A10" s="20">
        <v>2</v>
      </c>
      <c r="B10" s="18" t="s">
        <v>64</v>
      </c>
      <c r="C10" s="19"/>
    </row>
    <row r="11" spans="1:3" ht="45" x14ac:dyDescent="0.25">
      <c r="A11" s="19"/>
      <c r="B11" s="19"/>
      <c r="C11" s="20" t="s">
        <v>65</v>
      </c>
    </row>
    <row r="12" spans="1:3" ht="45" x14ac:dyDescent="0.25">
      <c r="A12" s="19"/>
      <c r="B12" s="19"/>
      <c r="C12" s="20" t="s">
        <v>66</v>
      </c>
    </row>
    <row r="13" spans="1:3" ht="45" x14ac:dyDescent="0.25">
      <c r="A13" s="20">
        <v>3</v>
      </c>
      <c r="B13" s="18" t="s">
        <v>67</v>
      </c>
      <c r="C13" s="19"/>
    </row>
    <row r="14" spans="1:3" ht="75" x14ac:dyDescent="0.25">
      <c r="A14" s="19"/>
      <c r="B14" s="19"/>
      <c r="C14" s="20" t="s">
        <v>68</v>
      </c>
    </row>
    <row r="15" spans="1:3" ht="75" x14ac:dyDescent="0.25">
      <c r="A15" s="19"/>
      <c r="B15" s="19"/>
      <c r="C15" s="20" t="s">
        <v>69</v>
      </c>
    </row>
    <row r="16" spans="1:3" ht="30" x14ac:dyDescent="0.25">
      <c r="A16" s="20">
        <v>4</v>
      </c>
      <c r="B16" s="18" t="s">
        <v>70</v>
      </c>
      <c r="C16" s="19"/>
    </row>
    <row r="17" spans="1:3" ht="60" x14ac:dyDescent="0.25">
      <c r="A17" s="19"/>
      <c r="B17" s="19"/>
      <c r="C17" s="20" t="s">
        <v>71</v>
      </c>
    </row>
    <row r="18" spans="1:3" ht="15.75" x14ac:dyDescent="0.25">
      <c r="A18" s="26" t="s">
        <v>72</v>
      </c>
      <c r="B18" s="19"/>
      <c r="C18" s="19"/>
    </row>
    <row r="19" spans="1:3" x14ac:dyDescent="0.25">
      <c r="A19" s="20" t="s">
        <v>73</v>
      </c>
      <c r="B19" s="19"/>
      <c r="C19" s="19"/>
    </row>
    <row r="20" spans="1:3" x14ac:dyDescent="0.25">
      <c r="A20" s="18" t="s">
        <v>74</v>
      </c>
      <c r="B20" s="19"/>
      <c r="C20" s="19"/>
    </row>
    <row r="21" spans="1:3" ht="105" x14ac:dyDescent="0.25">
      <c r="A21" s="19"/>
      <c r="B21" s="20" t="s">
        <v>75</v>
      </c>
      <c r="C21" s="19"/>
    </row>
    <row r="22" spans="1:3" x14ac:dyDescent="0.25">
      <c r="A22" s="18" t="s">
        <v>76</v>
      </c>
      <c r="B22" s="19"/>
      <c r="C22" s="19"/>
    </row>
    <row r="23" spans="1:3" ht="45" x14ac:dyDescent="0.25">
      <c r="A23" s="19"/>
      <c r="B23" s="20" t="s">
        <v>77</v>
      </c>
      <c r="C23" s="19"/>
    </row>
    <row r="24" spans="1:3" ht="90" x14ac:dyDescent="0.25">
      <c r="A24" s="19"/>
      <c r="B24" s="20" t="s">
        <v>78</v>
      </c>
      <c r="C24" s="19"/>
    </row>
    <row r="25" spans="1:3" x14ac:dyDescent="0.25">
      <c r="A25" s="18" t="s">
        <v>26</v>
      </c>
      <c r="B25" s="19"/>
      <c r="C25" s="19"/>
    </row>
    <row r="26" spans="1:3" ht="75" x14ac:dyDescent="0.25">
      <c r="A26" s="19"/>
      <c r="B26" s="20" t="s">
        <v>79</v>
      </c>
      <c r="C26" s="19"/>
    </row>
    <row r="27" spans="1:3" x14ac:dyDescent="0.25">
      <c r="A27" s="18" t="s">
        <v>80</v>
      </c>
      <c r="B27" s="19"/>
      <c r="C27" s="19"/>
    </row>
    <row r="28" spans="1:3" x14ac:dyDescent="0.25">
      <c r="A28" s="18"/>
      <c r="B28" s="19"/>
      <c r="C28" s="19"/>
    </row>
    <row r="29" spans="1:3" ht="75" x14ac:dyDescent="0.25">
      <c r="A29" s="19"/>
      <c r="B29" s="20" t="s">
        <v>81</v>
      </c>
      <c r="C29" s="19"/>
    </row>
    <row r="30" spans="1:3" ht="18" x14ac:dyDescent="0.3">
      <c r="A30" s="27"/>
      <c r="B30" s="19"/>
      <c r="C30" s="19"/>
    </row>
    <row r="31" spans="1:3" ht="18" x14ac:dyDescent="0.3">
      <c r="A31" s="27"/>
      <c r="B31" s="19"/>
      <c r="C31" s="19"/>
    </row>
    <row r="32" spans="1:3" ht="18.75" x14ac:dyDescent="0.3">
      <c r="A32" s="28" t="s">
        <v>29</v>
      </c>
      <c r="B32" s="19"/>
      <c r="C32" s="19"/>
    </row>
    <row r="33" spans="1:3" x14ac:dyDescent="0.25">
      <c r="A33" s="20" t="s">
        <v>30</v>
      </c>
      <c r="B33" s="19"/>
      <c r="C33" s="19"/>
    </row>
    <row r="34" spans="1:3" x14ac:dyDescent="0.25">
      <c r="A34" s="20" t="s">
        <v>31</v>
      </c>
      <c r="B34" s="19"/>
      <c r="C34" s="19"/>
    </row>
    <row r="35" spans="1:3" x14ac:dyDescent="0.25">
      <c r="A35" s="20" t="s">
        <v>82</v>
      </c>
      <c r="B35" s="19"/>
      <c r="C35" s="19"/>
    </row>
    <row r="36" spans="1:3" x14ac:dyDescent="0.25">
      <c r="A36" s="20" t="s">
        <v>83</v>
      </c>
      <c r="B36" s="19"/>
      <c r="C36" s="19"/>
    </row>
    <row r="37" spans="1:3" x14ac:dyDescent="0.25">
      <c r="A37" s="19"/>
      <c r="B37" s="19"/>
      <c r="C37" s="19"/>
    </row>
    <row r="38" spans="1:3" x14ac:dyDescent="0.25">
      <c r="A38" s="19"/>
      <c r="B38" s="19"/>
      <c r="C38" s="19"/>
    </row>
    <row r="39" spans="1:3" x14ac:dyDescent="0.25">
      <c r="A39" s="19"/>
      <c r="B39" s="19"/>
      <c r="C3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A348-8517-4AEE-8818-702B858ADE6C}">
  <dimension ref="A1:C45"/>
  <sheetViews>
    <sheetView workbookViewId="0">
      <selection activeCell="A22" sqref="A22"/>
    </sheetView>
  </sheetViews>
  <sheetFormatPr defaultRowHeight="15" x14ac:dyDescent="0.25"/>
  <cols>
    <col min="1" max="1" width="63.28515625" customWidth="1"/>
    <col min="2" max="2" width="37" customWidth="1"/>
    <col min="3" max="3" width="23.5703125" customWidth="1"/>
  </cols>
  <sheetData>
    <row r="1" spans="1:3" ht="45" x14ac:dyDescent="0.25">
      <c r="A1" s="20" t="s">
        <v>84</v>
      </c>
    </row>
    <row r="3" spans="1:3" x14ac:dyDescent="0.25">
      <c r="A3" s="7" t="s">
        <v>3</v>
      </c>
    </row>
    <row r="4" spans="1:3" x14ac:dyDescent="0.25">
      <c r="A4" s="19"/>
      <c r="B4" s="19"/>
      <c r="C4" s="19"/>
    </row>
    <row r="5" spans="1:3" x14ac:dyDescent="0.25">
      <c r="A5" s="18" t="s">
        <v>85</v>
      </c>
      <c r="B5" s="19"/>
      <c r="C5" s="19"/>
    </row>
    <row r="6" spans="1:3" ht="30" x14ac:dyDescent="0.25">
      <c r="A6" s="18" t="s">
        <v>86</v>
      </c>
      <c r="B6" s="19"/>
      <c r="C6" s="19"/>
    </row>
    <row r="7" spans="1:3" x14ac:dyDescent="0.25">
      <c r="A7" s="18" t="s">
        <v>87</v>
      </c>
      <c r="B7" s="19"/>
      <c r="C7" s="19"/>
    </row>
    <row r="8" spans="1:3" x14ac:dyDescent="0.25">
      <c r="A8" s="19"/>
      <c r="B8" s="20" t="s">
        <v>88</v>
      </c>
      <c r="C8" s="19"/>
    </row>
    <row r="9" spans="1:3" x14ac:dyDescent="0.25">
      <c r="A9" s="19"/>
      <c r="B9" s="20" t="s">
        <v>89</v>
      </c>
      <c r="C9" s="19"/>
    </row>
    <row r="10" spans="1:3" x14ac:dyDescent="0.25">
      <c r="A10" s="19"/>
      <c r="B10" s="20" t="s">
        <v>90</v>
      </c>
      <c r="C10" s="19"/>
    </row>
    <row r="11" spans="1:3" x14ac:dyDescent="0.25">
      <c r="A11" s="18" t="s">
        <v>91</v>
      </c>
      <c r="B11" s="19"/>
      <c r="C11" s="19"/>
    </row>
    <row r="12" spans="1:3" x14ac:dyDescent="0.25">
      <c r="A12" s="18" t="s">
        <v>8</v>
      </c>
      <c r="B12" s="19"/>
      <c r="C12" s="19"/>
    </row>
    <row r="13" spans="1:3" ht="30" x14ac:dyDescent="0.25">
      <c r="A13" s="19"/>
      <c r="B13" s="29" t="s">
        <v>92</v>
      </c>
      <c r="C13" s="19"/>
    </row>
    <row r="14" spans="1:3" ht="30" x14ac:dyDescent="0.25">
      <c r="A14" s="19"/>
      <c r="B14" s="20" t="s">
        <v>93</v>
      </c>
      <c r="C14" s="19"/>
    </row>
    <row r="15" spans="1:3" x14ac:dyDescent="0.25">
      <c r="A15" s="19"/>
      <c r="B15" s="20" t="s">
        <v>94</v>
      </c>
      <c r="C15" s="19"/>
    </row>
    <row r="16" spans="1:3" x14ac:dyDescent="0.25">
      <c r="A16" s="18" t="s">
        <v>95</v>
      </c>
      <c r="B16" s="19"/>
      <c r="C16" s="19"/>
    </row>
    <row r="17" spans="1:3" ht="30" x14ac:dyDescent="0.25">
      <c r="A17" s="18" t="s">
        <v>96</v>
      </c>
      <c r="B17" s="19"/>
      <c r="C17" s="19"/>
    </row>
    <row r="18" spans="1:3" x14ac:dyDescent="0.25">
      <c r="A18" s="18" t="s">
        <v>87</v>
      </c>
      <c r="B18" s="19"/>
      <c r="C18" s="19"/>
    </row>
    <row r="19" spans="1:3" x14ac:dyDescent="0.25">
      <c r="A19" s="19"/>
      <c r="B19" s="20" t="s">
        <v>97</v>
      </c>
      <c r="C19" s="19"/>
    </row>
    <row r="20" spans="1:3" ht="30" x14ac:dyDescent="0.25">
      <c r="A20" s="19"/>
      <c r="B20" s="20" t="s">
        <v>98</v>
      </c>
      <c r="C20" s="19"/>
    </row>
    <row r="21" spans="1:3" ht="30" x14ac:dyDescent="0.25">
      <c r="A21" s="19"/>
      <c r="B21" s="20" t="s">
        <v>99</v>
      </c>
      <c r="C21" s="19"/>
    </row>
    <row r="22" spans="1:3" x14ac:dyDescent="0.25">
      <c r="A22" s="18" t="s">
        <v>91</v>
      </c>
      <c r="B22" s="19"/>
      <c r="C22" s="19"/>
    </row>
    <row r="23" spans="1:3" ht="30" x14ac:dyDescent="0.25">
      <c r="A23" s="18" t="s">
        <v>100</v>
      </c>
      <c r="B23" s="19"/>
      <c r="C23" s="19"/>
    </row>
    <row r="24" spans="1:3" x14ac:dyDescent="0.25">
      <c r="A24" s="18" t="s">
        <v>101</v>
      </c>
      <c r="B24" s="19"/>
      <c r="C24" s="19"/>
    </row>
    <row r="25" spans="1:3" x14ac:dyDescent="0.25">
      <c r="A25" s="18"/>
      <c r="B25" s="19"/>
      <c r="C25" s="19"/>
    </row>
    <row r="26" spans="1:3" x14ac:dyDescent="0.25">
      <c r="A26" s="22" t="s">
        <v>14</v>
      </c>
      <c r="B26" s="22" t="s">
        <v>102</v>
      </c>
      <c r="C26" s="22" t="s">
        <v>103</v>
      </c>
    </row>
    <row r="27" spans="1:3" x14ac:dyDescent="0.25">
      <c r="A27" s="22" t="s">
        <v>104</v>
      </c>
      <c r="B27" s="23" t="s">
        <v>105</v>
      </c>
      <c r="C27" s="23" t="s">
        <v>106</v>
      </c>
    </row>
    <row r="28" spans="1:3" ht="30" x14ac:dyDescent="0.25">
      <c r="A28" s="22" t="s">
        <v>107</v>
      </c>
      <c r="B28" s="23" t="s">
        <v>108</v>
      </c>
      <c r="C28" s="23" t="s">
        <v>109</v>
      </c>
    </row>
    <row r="29" spans="1:3" ht="30" x14ac:dyDescent="0.25">
      <c r="A29" s="22" t="s">
        <v>110</v>
      </c>
      <c r="B29" s="23" t="s">
        <v>111</v>
      </c>
      <c r="C29" s="23" t="s">
        <v>112</v>
      </c>
    </row>
    <row r="30" spans="1:3" ht="30" x14ac:dyDescent="0.25">
      <c r="A30" s="22" t="s">
        <v>113</v>
      </c>
      <c r="B30" s="23" t="s">
        <v>114</v>
      </c>
      <c r="C30" s="23" t="s">
        <v>115</v>
      </c>
    </row>
    <row r="31" spans="1:3" ht="45" x14ac:dyDescent="0.25">
      <c r="A31" s="22" t="s">
        <v>116</v>
      </c>
      <c r="B31" s="23" t="s">
        <v>117</v>
      </c>
      <c r="C31" s="23" t="s">
        <v>118</v>
      </c>
    </row>
    <row r="32" spans="1:3" x14ac:dyDescent="0.25">
      <c r="A32" s="18"/>
      <c r="B32" s="20"/>
      <c r="C32" s="20"/>
    </row>
    <row r="33" spans="1:3" x14ac:dyDescent="0.25">
      <c r="A33" s="18" t="s">
        <v>119</v>
      </c>
      <c r="B33" s="19"/>
      <c r="C33" s="19"/>
    </row>
    <row r="34" spans="1:3" x14ac:dyDescent="0.25">
      <c r="A34" s="20" t="s">
        <v>120</v>
      </c>
      <c r="B34" s="19"/>
      <c r="C34" s="19"/>
    </row>
    <row r="35" spans="1:3" ht="45" x14ac:dyDescent="0.25">
      <c r="A35" s="20" t="s">
        <v>121</v>
      </c>
      <c r="B35" s="19"/>
      <c r="C35" s="19"/>
    </row>
    <row r="36" spans="1:3" x14ac:dyDescent="0.25">
      <c r="A36" s="20" t="s">
        <v>122</v>
      </c>
      <c r="B36" s="19"/>
      <c r="C36" s="19"/>
    </row>
    <row r="37" spans="1:3" x14ac:dyDescent="0.25">
      <c r="A37" s="20"/>
      <c r="B37" s="19"/>
      <c r="C37" s="19"/>
    </row>
    <row r="38" spans="1:3" x14ac:dyDescent="0.25">
      <c r="A38" s="18" t="s">
        <v>29</v>
      </c>
      <c r="B38" s="19"/>
      <c r="C38" s="19"/>
    </row>
    <row r="39" spans="1:3" x14ac:dyDescent="0.25">
      <c r="A39" s="18"/>
      <c r="B39" s="19"/>
      <c r="C39" s="19"/>
    </row>
    <row r="40" spans="1:3" x14ac:dyDescent="0.25">
      <c r="A40" s="18" t="s">
        <v>123</v>
      </c>
      <c r="B40" s="19"/>
      <c r="C40" s="19"/>
    </row>
    <row r="41" spans="1:3" ht="30" x14ac:dyDescent="0.25">
      <c r="A41" s="18" t="s">
        <v>124</v>
      </c>
      <c r="B41" s="19"/>
      <c r="C41" s="19"/>
    </row>
    <row r="42" spans="1:3" x14ac:dyDescent="0.25">
      <c r="A42" s="19"/>
      <c r="B42" s="19"/>
      <c r="C42" s="19"/>
    </row>
    <row r="43" spans="1:3" x14ac:dyDescent="0.25">
      <c r="A43" s="19"/>
      <c r="B43" s="19"/>
      <c r="C43" s="19"/>
    </row>
    <row r="44" spans="1:3" x14ac:dyDescent="0.25">
      <c r="A44" s="19"/>
      <c r="B44" s="19"/>
      <c r="C44" s="19"/>
    </row>
    <row r="45" spans="1:3" x14ac:dyDescent="0.25">
      <c r="A45" s="19"/>
      <c r="B45" s="19"/>
      <c r="C45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6262-07BF-4A31-B3BA-58B7B28EE021}">
  <dimension ref="A1:D25"/>
  <sheetViews>
    <sheetView workbookViewId="0">
      <selection activeCell="A5" sqref="A5"/>
    </sheetView>
  </sheetViews>
  <sheetFormatPr defaultRowHeight="15" x14ac:dyDescent="0.25"/>
  <cols>
    <col min="1" max="1" width="61.28515625" customWidth="1"/>
    <col min="2" max="2" width="41.5703125" customWidth="1"/>
    <col min="3" max="3" width="29" customWidth="1"/>
  </cols>
  <sheetData>
    <row r="1" spans="1:4" ht="45" x14ac:dyDescent="0.25">
      <c r="A1" s="20" t="s">
        <v>125</v>
      </c>
    </row>
    <row r="3" spans="1:4" x14ac:dyDescent="0.25">
      <c r="A3" s="7" t="s">
        <v>3</v>
      </c>
    </row>
    <row r="4" spans="1:4" x14ac:dyDescent="0.25">
      <c r="A4" s="30"/>
      <c r="B4" s="30"/>
      <c r="C4" s="30"/>
      <c r="D4" s="30"/>
    </row>
    <row r="5" spans="1:4" x14ac:dyDescent="0.25">
      <c r="A5" s="31" t="s">
        <v>126</v>
      </c>
      <c r="B5" s="30"/>
      <c r="C5" s="30"/>
      <c r="D5" s="30"/>
    </row>
    <row r="6" spans="1:4" ht="30" x14ac:dyDescent="0.25">
      <c r="A6" s="31" t="s">
        <v>127</v>
      </c>
      <c r="B6" s="30"/>
      <c r="C6" s="30"/>
      <c r="D6" s="30"/>
    </row>
    <row r="7" spans="1:4" x14ac:dyDescent="0.25">
      <c r="A7" s="31" t="s">
        <v>128</v>
      </c>
      <c r="B7" s="30"/>
      <c r="C7" s="30"/>
      <c r="D7" s="30"/>
    </row>
    <row r="8" spans="1:4" ht="45" x14ac:dyDescent="0.25">
      <c r="A8" s="31" t="s">
        <v>129</v>
      </c>
      <c r="B8" s="30"/>
      <c r="C8" s="30"/>
      <c r="D8" s="30"/>
    </row>
    <row r="9" spans="1:4" x14ac:dyDescent="0.25">
      <c r="A9" s="31"/>
      <c r="B9" s="30"/>
      <c r="C9" s="30"/>
      <c r="D9" s="30"/>
    </row>
    <row r="10" spans="1:4" x14ac:dyDescent="0.25">
      <c r="A10" s="31"/>
      <c r="B10" s="30"/>
      <c r="C10" s="30"/>
      <c r="D10" s="30"/>
    </row>
    <row r="11" spans="1:4" x14ac:dyDescent="0.25">
      <c r="A11" s="31"/>
      <c r="B11" s="30"/>
      <c r="C11" s="30"/>
      <c r="D11" s="30"/>
    </row>
    <row r="12" spans="1:4" x14ac:dyDescent="0.25">
      <c r="A12" s="31" t="s">
        <v>130</v>
      </c>
      <c r="B12" s="30"/>
      <c r="C12" s="30"/>
      <c r="D12" s="30"/>
    </row>
    <row r="13" spans="1:4" x14ac:dyDescent="0.25">
      <c r="A13" s="31"/>
      <c r="B13" s="30"/>
      <c r="C13" s="30"/>
      <c r="D13" s="30"/>
    </row>
    <row r="14" spans="1:4" x14ac:dyDescent="0.25">
      <c r="A14" s="31" t="s">
        <v>131</v>
      </c>
      <c r="B14" s="30" t="s">
        <v>132</v>
      </c>
      <c r="C14" s="30" t="s">
        <v>133</v>
      </c>
      <c r="D14" s="30"/>
    </row>
    <row r="15" spans="1:4" x14ac:dyDescent="0.25">
      <c r="A15" s="32" t="s">
        <v>134</v>
      </c>
      <c r="B15" s="30"/>
      <c r="C15" s="30"/>
      <c r="D15" s="30"/>
    </row>
    <row r="16" spans="1:4" ht="30" x14ac:dyDescent="0.25">
      <c r="A16" s="33">
        <v>1</v>
      </c>
      <c r="B16" s="34" t="s">
        <v>135</v>
      </c>
      <c r="C16" s="35"/>
      <c r="D16" s="30"/>
    </row>
    <row r="17" spans="1:4" ht="60" x14ac:dyDescent="0.25">
      <c r="A17" s="35"/>
      <c r="B17" s="35"/>
      <c r="C17" s="33" t="s">
        <v>136</v>
      </c>
      <c r="D17" s="30"/>
    </row>
    <row r="18" spans="1:4" ht="30" x14ac:dyDescent="0.25">
      <c r="A18" s="33">
        <v>2</v>
      </c>
      <c r="B18" s="34" t="s">
        <v>137</v>
      </c>
      <c r="C18" s="35"/>
      <c r="D18" s="30"/>
    </row>
    <row r="19" spans="1:4" ht="45" x14ac:dyDescent="0.25">
      <c r="A19" s="35"/>
      <c r="B19" s="35"/>
      <c r="C19" s="33" t="s">
        <v>138</v>
      </c>
      <c r="D19" s="30"/>
    </row>
    <row r="20" spans="1:4" ht="30" x14ac:dyDescent="0.25">
      <c r="A20" s="36">
        <v>3</v>
      </c>
      <c r="B20" s="37" t="s">
        <v>139</v>
      </c>
      <c r="C20" s="38"/>
      <c r="D20" s="30"/>
    </row>
    <row r="21" spans="1:4" x14ac:dyDescent="0.25">
      <c r="A21" s="35"/>
      <c r="B21" s="35"/>
      <c r="C21" s="35"/>
      <c r="D21" s="30"/>
    </row>
    <row r="22" spans="1:4" x14ac:dyDescent="0.25">
      <c r="A22" s="30"/>
      <c r="B22" s="30"/>
      <c r="C22" s="30"/>
      <c r="D22" s="30"/>
    </row>
    <row r="23" spans="1:4" x14ac:dyDescent="0.25">
      <c r="A23" s="30"/>
      <c r="B23" s="30"/>
      <c r="C23" s="30"/>
      <c r="D23" s="30"/>
    </row>
    <row r="24" spans="1:4" x14ac:dyDescent="0.25">
      <c r="A24" s="30"/>
      <c r="B24" s="30"/>
      <c r="C24" s="30"/>
      <c r="D24" s="30"/>
    </row>
    <row r="25" spans="1:4" x14ac:dyDescent="0.25">
      <c r="A25" s="30"/>
      <c r="B25" s="30"/>
      <c r="C25" s="30"/>
      <c r="D25" s="3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04B8-897A-4A46-B7B8-3BFFD60C0B89}">
  <dimension ref="A1:F35"/>
  <sheetViews>
    <sheetView topLeftCell="A28" workbookViewId="0">
      <selection activeCell="B30" sqref="B30"/>
    </sheetView>
  </sheetViews>
  <sheetFormatPr defaultRowHeight="15" x14ac:dyDescent="0.25"/>
  <cols>
    <col min="1" max="1" width="47.85546875" customWidth="1"/>
    <col min="2" max="2" width="47.7109375" customWidth="1"/>
    <col min="3" max="3" width="0" hidden="1" customWidth="1"/>
  </cols>
  <sheetData>
    <row r="1" spans="1:2" ht="30" x14ac:dyDescent="0.25">
      <c r="A1" s="20" t="s">
        <v>140</v>
      </c>
      <c r="B1" s="19"/>
    </row>
    <row r="2" spans="1:2" x14ac:dyDescent="0.25">
      <c r="A2" s="19"/>
      <c r="B2" s="19"/>
    </row>
    <row r="3" spans="1:2" ht="21" customHeight="1" x14ac:dyDescent="0.25">
      <c r="A3" s="23" t="s">
        <v>141</v>
      </c>
      <c r="B3" s="23" t="s">
        <v>142</v>
      </c>
    </row>
    <row r="4" spans="1:2" x14ac:dyDescent="0.25">
      <c r="A4" s="39">
        <v>2</v>
      </c>
      <c r="B4" s="39">
        <v>3</v>
      </c>
    </row>
    <row r="5" spans="1:2" x14ac:dyDescent="0.25">
      <c r="A5" s="39">
        <v>4</v>
      </c>
      <c r="B5" s="39">
        <v>7</v>
      </c>
    </row>
    <row r="6" spans="1:2" x14ac:dyDescent="0.25">
      <c r="A6" s="39">
        <v>6</v>
      </c>
      <c r="B6" s="39">
        <v>5</v>
      </c>
    </row>
    <row r="7" spans="1:2" x14ac:dyDescent="0.25">
      <c r="A7" s="39">
        <v>8</v>
      </c>
      <c r="B7" s="39">
        <v>10</v>
      </c>
    </row>
    <row r="9" spans="1:2" x14ac:dyDescent="0.25">
      <c r="A9" s="40" t="s">
        <v>3</v>
      </c>
    </row>
    <row r="11" spans="1:2" ht="18" x14ac:dyDescent="0.3">
      <c r="A11" s="48" t="s">
        <v>143</v>
      </c>
    </row>
    <row r="12" spans="1:2" ht="18" x14ac:dyDescent="0.3">
      <c r="A12" s="48"/>
    </row>
    <row r="13" spans="1:2" x14ac:dyDescent="0.25">
      <c r="A13" s="49" t="s">
        <v>144</v>
      </c>
    </row>
    <row r="14" spans="1:2" x14ac:dyDescent="0.25">
      <c r="A14" s="49" t="s">
        <v>145</v>
      </c>
    </row>
    <row r="15" spans="1:2" x14ac:dyDescent="0.25">
      <c r="A15" s="49" t="s">
        <v>146</v>
      </c>
    </row>
    <row r="16" spans="1:2" x14ac:dyDescent="0.25">
      <c r="A16" s="49" t="s">
        <v>147</v>
      </c>
    </row>
    <row r="17" spans="1:6" x14ac:dyDescent="0.25">
      <c r="A17" s="49" t="s">
        <v>148</v>
      </c>
    </row>
    <row r="18" spans="1:6" x14ac:dyDescent="0.25">
      <c r="A18" s="50"/>
    </row>
    <row r="19" spans="1:6" x14ac:dyDescent="0.25">
      <c r="A19" s="49" t="s">
        <v>149</v>
      </c>
      <c r="B19">
        <f>5</f>
        <v>5</v>
      </c>
    </row>
    <row r="20" spans="1:6" x14ac:dyDescent="0.25">
      <c r="A20" s="49" t="s">
        <v>150</v>
      </c>
      <c r="B20">
        <f>6.25</f>
        <v>6.25</v>
      </c>
    </row>
    <row r="22" spans="1:6" x14ac:dyDescent="0.25">
      <c r="A22" s="41" t="s">
        <v>141</v>
      </c>
      <c r="B22" s="41" t="s">
        <v>142</v>
      </c>
      <c r="C22" s="43"/>
      <c r="D22" s="45" t="s">
        <v>151</v>
      </c>
      <c r="E22" s="45" t="s">
        <v>152</v>
      </c>
      <c r="F22" s="45" t="s">
        <v>153</v>
      </c>
    </row>
    <row r="23" spans="1:6" x14ac:dyDescent="0.25">
      <c r="A23" s="43">
        <v>2</v>
      </c>
      <c r="B23" s="43">
        <v>3</v>
      </c>
      <c r="C23" s="43"/>
      <c r="D23" s="45">
        <f>A23-B$19</f>
        <v>-3</v>
      </c>
      <c r="E23" s="45">
        <f>B23-B$20</f>
        <v>-3.25</v>
      </c>
      <c r="F23" s="45">
        <f>PRODUCT(D23*E23)</f>
        <v>9.75</v>
      </c>
    </row>
    <row r="24" spans="1:6" x14ac:dyDescent="0.25">
      <c r="A24" s="43">
        <v>4</v>
      </c>
      <c r="B24" s="43">
        <v>7</v>
      </c>
      <c r="C24" s="43"/>
      <c r="D24" s="45">
        <f t="shared" ref="D24:D26" si="0">A24-B$19</f>
        <v>-1</v>
      </c>
      <c r="E24" s="45">
        <f t="shared" ref="E24:E26" si="1">B24-B$20</f>
        <v>0.75</v>
      </c>
      <c r="F24" s="45">
        <f t="shared" ref="F24:F26" si="2">PRODUCT(D24*E24)</f>
        <v>-0.75</v>
      </c>
    </row>
    <row r="25" spans="1:6" x14ac:dyDescent="0.25">
      <c r="A25" s="43">
        <v>6</v>
      </c>
      <c r="B25" s="43">
        <v>5</v>
      </c>
      <c r="C25" s="43"/>
      <c r="D25" s="45">
        <f t="shared" si="0"/>
        <v>1</v>
      </c>
      <c r="E25" s="45">
        <f t="shared" si="1"/>
        <v>-1.25</v>
      </c>
      <c r="F25" s="45">
        <f t="shared" si="2"/>
        <v>-1.25</v>
      </c>
    </row>
    <row r="26" spans="1:6" x14ac:dyDescent="0.25">
      <c r="A26" s="43">
        <v>8</v>
      </c>
      <c r="B26" s="43">
        <v>10</v>
      </c>
      <c r="C26" s="43"/>
      <c r="D26" s="45">
        <f t="shared" si="0"/>
        <v>3</v>
      </c>
      <c r="E26" s="45">
        <f t="shared" si="1"/>
        <v>3.75</v>
      </c>
      <c r="F26" s="45">
        <f t="shared" si="2"/>
        <v>11.25</v>
      </c>
    </row>
    <row r="28" spans="1:6" x14ac:dyDescent="0.25">
      <c r="A28" s="44" t="s">
        <v>154</v>
      </c>
      <c r="B28" s="7">
        <f>SUM(F23:F26)</f>
        <v>19</v>
      </c>
    </row>
    <row r="30" spans="1:6" ht="18" x14ac:dyDescent="0.3">
      <c r="A30" s="46" t="s">
        <v>155</v>
      </c>
      <c r="B30" s="51">
        <f>4-1</f>
        <v>3</v>
      </c>
    </row>
    <row r="31" spans="1:6" x14ac:dyDescent="0.25">
      <c r="A31" s="47" t="s">
        <v>156</v>
      </c>
    </row>
    <row r="32" spans="1:6" x14ac:dyDescent="0.25">
      <c r="A32" s="42">
        <f>B28/3</f>
        <v>6.333333333333333</v>
      </c>
    </row>
    <row r="35" spans="1:1" x14ac:dyDescent="0.25">
      <c r="A35" s="19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10E9-D64F-4C6F-8938-59014F4230B2}">
  <dimension ref="A1:E60"/>
  <sheetViews>
    <sheetView topLeftCell="A64" workbookViewId="0">
      <selection activeCell="A60" sqref="A60"/>
    </sheetView>
  </sheetViews>
  <sheetFormatPr defaultRowHeight="15" x14ac:dyDescent="0.25"/>
  <cols>
    <col min="1" max="1" width="59.140625" customWidth="1"/>
    <col min="2" max="2" width="27.140625" customWidth="1"/>
    <col min="3" max="3" width="25.42578125" customWidth="1"/>
  </cols>
  <sheetData>
    <row r="1" spans="1:2" ht="30" x14ac:dyDescent="0.25">
      <c r="A1" s="52" t="s">
        <v>158</v>
      </c>
      <c r="B1" s="25"/>
    </row>
    <row r="2" spans="1:2" x14ac:dyDescent="0.25">
      <c r="A2" s="25"/>
      <c r="B2" s="25"/>
    </row>
    <row r="3" spans="1:2" x14ac:dyDescent="0.25">
      <c r="A3" s="53" t="s">
        <v>159</v>
      </c>
      <c r="B3" s="53" t="s">
        <v>160</v>
      </c>
    </row>
    <row r="4" spans="1:2" x14ac:dyDescent="0.25">
      <c r="A4" s="53">
        <v>10</v>
      </c>
      <c r="B4" s="53">
        <v>8</v>
      </c>
    </row>
    <row r="5" spans="1:2" x14ac:dyDescent="0.25">
      <c r="A5" s="53">
        <v>20</v>
      </c>
      <c r="B5" s="53">
        <v>14</v>
      </c>
    </row>
    <row r="6" spans="1:2" x14ac:dyDescent="0.25">
      <c r="A6" s="53">
        <v>30</v>
      </c>
      <c r="B6" s="53">
        <v>18</v>
      </c>
    </row>
    <row r="7" spans="1:2" x14ac:dyDescent="0.25">
      <c r="A7" s="53">
        <v>40</v>
      </c>
      <c r="B7" s="53">
        <v>24</v>
      </c>
    </row>
    <row r="8" spans="1:2" x14ac:dyDescent="0.25">
      <c r="A8" s="53">
        <v>50</v>
      </c>
      <c r="B8" s="53">
        <v>28</v>
      </c>
    </row>
    <row r="10" spans="1:2" x14ac:dyDescent="0.25">
      <c r="A10" s="7" t="s">
        <v>3</v>
      </c>
    </row>
    <row r="12" spans="1:2" ht="18" x14ac:dyDescent="0.3">
      <c r="A12" s="5" t="s">
        <v>161</v>
      </c>
    </row>
    <row r="13" spans="1:2" ht="18" x14ac:dyDescent="0.3">
      <c r="A13" s="5"/>
    </row>
    <row r="14" spans="1:2" x14ac:dyDescent="0.25">
      <c r="A14" s="58" t="s">
        <v>162</v>
      </c>
    </row>
    <row r="16" spans="1:2" x14ac:dyDescent="0.25">
      <c r="A16" t="s">
        <v>163</v>
      </c>
    </row>
    <row r="17" spans="1:5" x14ac:dyDescent="0.25">
      <c r="A17" s="54">
        <f>SUM(A4:A8)/COUNT(A4:A8)</f>
        <v>30</v>
      </c>
    </row>
    <row r="19" spans="1:5" x14ac:dyDescent="0.25">
      <c r="A19" t="s">
        <v>164</v>
      </c>
    </row>
    <row r="20" spans="1:5" x14ac:dyDescent="0.25">
      <c r="A20" s="55">
        <f>SUM(B4:B8)/COUNT(B4:B8)</f>
        <v>18.399999999999999</v>
      </c>
    </row>
    <row r="22" spans="1:5" x14ac:dyDescent="0.25">
      <c r="A22" s="43" t="s">
        <v>165</v>
      </c>
      <c r="B22" s="43" t="s">
        <v>166</v>
      </c>
      <c r="C22" s="56" t="s">
        <v>167</v>
      </c>
      <c r="D22" s="56" t="s">
        <v>168</v>
      </c>
      <c r="E22" s="56" t="s">
        <v>153</v>
      </c>
    </row>
    <row r="23" spans="1:5" x14ac:dyDescent="0.25">
      <c r="A23" s="43">
        <v>10</v>
      </c>
      <c r="B23" s="43">
        <v>8</v>
      </c>
      <c r="C23" s="56">
        <f>A23-A$17</f>
        <v>-20</v>
      </c>
      <c r="D23" s="56">
        <f>B23-A$20</f>
        <v>-10.399999999999999</v>
      </c>
      <c r="E23" s="56">
        <f>PRODUCT(C23,D23)</f>
        <v>207.99999999999997</v>
      </c>
    </row>
    <row r="24" spans="1:5" x14ac:dyDescent="0.25">
      <c r="A24" s="43">
        <v>20</v>
      </c>
      <c r="B24" s="43">
        <v>14</v>
      </c>
      <c r="C24" s="56">
        <f t="shared" ref="C24:C27" si="0">A24-A$17</f>
        <v>-10</v>
      </c>
      <c r="D24" s="56">
        <f t="shared" ref="D24:D27" si="1">B24-A$20</f>
        <v>-4.3999999999999986</v>
      </c>
      <c r="E24" s="56">
        <f t="shared" ref="E24:E27" si="2">PRODUCT(C24,D24)</f>
        <v>43.999999999999986</v>
      </c>
    </row>
    <row r="25" spans="1:5" x14ac:dyDescent="0.25">
      <c r="A25" s="43">
        <v>30</v>
      </c>
      <c r="B25" s="43">
        <v>18</v>
      </c>
      <c r="C25" s="56">
        <f t="shared" si="0"/>
        <v>0</v>
      </c>
      <c r="D25" s="56">
        <f t="shared" si="1"/>
        <v>-0.39999999999999858</v>
      </c>
      <c r="E25" s="56">
        <f t="shared" si="2"/>
        <v>0</v>
      </c>
    </row>
    <row r="26" spans="1:5" x14ac:dyDescent="0.25">
      <c r="A26" s="43">
        <v>40</v>
      </c>
      <c r="B26" s="43">
        <v>24</v>
      </c>
      <c r="C26" s="56">
        <f t="shared" si="0"/>
        <v>10</v>
      </c>
      <c r="D26" s="56">
        <f t="shared" si="1"/>
        <v>5.6000000000000014</v>
      </c>
      <c r="E26" s="56">
        <f t="shared" si="2"/>
        <v>56.000000000000014</v>
      </c>
    </row>
    <row r="27" spans="1:5" x14ac:dyDescent="0.25">
      <c r="A27" s="43">
        <v>50</v>
      </c>
      <c r="B27" s="43">
        <v>28</v>
      </c>
      <c r="C27" s="56">
        <f t="shared" si="0"/>
        <v>20</v>
      </c>
      <c r="D27" s="56">
        <f t="shared" si="1"/>
        <v>9.6000000000000014</v>
      </c>
      <c r="E27" s="56">
        <f t="shared" si="2"/>
        <v>192.00000000000003</v>
      </c>
    </row>
    <row r="29" spans="1:5" x14ac:dyDescent="0.25">
      <c r="A29" s="59" t="s">
        <v>169</v>
      </c>
    </row>
    <row r="30" spans="1:5" x14ac:dyDescent="0.25">
      <c r="A30" s="7">
        <f>SUM(E23:E27)</f>
        <v>500</v>
      </c>
    </row>
    <row r="32" spans="1:5" x14ac:dyDescent="0.25">
      <c r="A32" s="60" t="s">
        <v>15</v>
      </c>
    </row>
    <row r="33" spans="1:2" x14ac:dyDescent="0.25">
      <c r="A33" s="59" t="s">
        <v>170</v>
      </c>
      <c r="B33" s="57">
        <f>COUNT(C23:C27)-1</f>
        <v>4</v>
      </c>
    </row>
    <row r="35" spans="1:2" x14ac:dyDescent="0.25">
      <c r="A35" s="7">
        <f>A30/B33</f>
        <v>125</v>
      </c>
    </row>
    <row r="37" spans="1:2" x14ac:dyDescent="0.25">
      <c r="A37" s="60" t="s">
        <v>171</v>
      </c>
    </row>
    <row r="38" spans="1:2" x14ac:dyDescent="0.25">
      <c r="A38" s="58" t="s">
        <v>172</v>
      </c>
    </row>
    <row r="39" spans="1:2" x14ac:dyDescent="0.25">
      <c r="A39" s="59" t="s">
        <v>173</v>
      </c>
    </row>
    <row r="40" spans="1:2" x14ac:dyDescent="0.25">
      <c r="A40" s="44" cm="1">
        <f t="array" ref="A40">SUMPRODUCT(C23:C27^2)</f>
        <v>1000</v>
      </c>
    </row>
    <row r="42" spans="1:2" x14ac:dyDescent="0.25">
      <c r="A42" s="59" t="s">
        <v>174</v>
      </c>
    </row>
    <row r="43" spans="1:2" x14ac:dyDescent="0.25">
      <c r="A43" s="7">
        <f>SQRT(A40/4)</f>
        <v>15.811388300841896</v>
      </c>
    </row>
    <row r="44" spans="1:2" x14ac:dyDescent="0.25">
      <c r="A44" s="59"/>
    </row>
    <row r="45" spans="1:2" x14ac:dyDescent="0.25">
      <c r="A45" s="58" t="s">
        <v>175</v>
      </c>
    </row>
    <row r="46" spans="1:2" x14ac:dyDescent="0.25">
      <c r="A46" s="58" t="s">
        <v>176</v>
      </c>
    </row>
    <row r="47" spans="1:2" x14ac:dyDescent="0.25">
      <c r="A47" s="7" cm="1">
        <f t="array" ref="A47">SUMPRODUCT(D23:D27^2)</f>
        <v>251.2</v>
      </c>
    </row>
    <row r="49" spans="1:1" ht="30" x14ac:dyDescent="0.25">
      <c r="A49" s="2" t="s">
        <v>177</v>
      </c>
    </row>
    <row r="50" spans="1:1" x14ac:dyDescent="0.25">
      <c r="A50" s="7">
        <f>SQRT(A47/4)</f>
        <v>7.9246451024635798</v>
      </c>
    </row>
    <row r="51" spans="1:1" x14ac:dyDescent="0.25">
      <c r="A51" s="59" t="s">
        <v>178</v>
      </c>
    </row>
    <row r="52" spans="1:1" x14ac:dyDescent="0.25">
      <c r="A52" s="59"/>
    </row>
    <row r="53" spans="1:1" x14ac:dyDescent="0.25">
      <c r="A53" s="59" t="s">
        <v>179</v>
      </c>
    </row>
    <row r="54" spans="1:1" x14ac:dyDescent="0.25">
      <c r="A54" s="59" t="s">
        <v>180</v>
      </c>
    </row>
    <row r="55" spans="1:1" x14ac:dyDescent="0.25">
      <c r="A55" s="61" t="s">
        <v>181</v>
      </c>
    </row>
    <row r="56" spans="1:1" x14ac:dyDescent="0.25">
      <c r="A56" s="7">
        <f>A43*A50</f>
        <v>125.29964086141668</v>
      </c>
    </row>
    <row r="58" spans="1:1" x14ac:dyDescent="0.25">
      <c r="A58" s="7">
        <f>A35/A56</f>
        <v>0.99760860558452769</v>
      </c>
    </row>
    <row r="60" spans="1:1" x14ac:dyDescent="0.25">
      <c r="A60" s="44" t="s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4F79-E463-4A91-98D6-76E977661D85}">
  <dimension ref="A1:G55"/>
  <sheetViews>
    <sheetView topLeftCell="A50" workbookViewId="0">
      <selection activeCell="A53" sqref="A53"/>
    </sheetView>
  </sheetViews>
  <sheetFormatPr defaultRowHeight="15" x14ac:dyDescent="0.25"/>
  <cols>
    <col min="1" max="1" width="54.7109375" customWidth="1"/>
    <col min="2" max="2" width="22.7109375" customWidth="1"/>
    <col min="3" max="3" width="26.5703125" customWidth="1"/>
    <col min="5" max="5" width="10.140625" bestFit="1" customWidth="1"/>
  </cols>
  <sheetData>
    <row r="1" spans="1:2" ht="60" x14ac:dyDescent="0.25">
      <c r="A1" s="62" t="s">
        <v>183</v>
      </c>
    </row>
    <row r="3" spans="1:2" x14ac:dyDescent="0.25">
      <c r="A3" s="65" t="s">
        <v>184</v>
      </c>
      <c r="B3" s="66" t="s">
        <v>185</v>
      </c>
    </row>
    <row r="4" spans="1:2" x14ac:dyDescent="0.25">
      <c r="A4" s="63">
        <v>150</v>
      </c>
      <c r="B4" s="64">
        <v>50</v>
      </c>
    </row>
    <row r="5" spans="1:2" x14ac:dyDescent="0.25">
      <c r="A5" s="63">
        <v>160</v>
      </c>
      <c r="B5" s="64">
        <v>55</v>
      </c>
    </row>
    <row r="6" spans="1:2" x14ac:dyDescent="0.25">
      <c r="A6" s="63">
        <v>165</v>
      </c>
      <c r="B6" s="64">
        <v>58</v>
      </c>
    </row>
    <row r="7" spans="1:2" x14ac:dyDescent="0.25">
      <c r="A7" s="63">
        <v>170</v>
      </c>
      <c r="B7" s="64">
        <v>62</v>
      </c>
    </row>
    <row r="8" spans="1:2" x14ac:dyDescent="0.25">
      <c r="A8" s="67">
        <v>180</v>
      </c>
      <c r="B8" s="68">
        <v>70</v>
      </c>
    </row>
    <row r="10" spans="1:2" x14ac:dyDescent="0.25">
      <c r="A10" s="69" t="s">
        <v>186</v>
      </c>
    </row>
    <row r="11" spans="1:2" x14ac:dyDescent="0.25">
      <c r="A11" s="25"/>
    </row>
    <row r="12" spans="1:2" x14ac:dyDescent="0.25">
      <c r="A12" s="25" t="s">
        <v>187</v>
      </c>
    </row>
    <row r="13" spans="1:2" x14ac:dyDescent="0.25">
      <c r="A13" s="25"/>
    </row>
    <row r="14" spans="1:2" x14ac:dyDescent="0.25">
      <c r="A14" s="25" t="s">
        <v>188</v>
      </c>
    </row>
    <row r="15" spans="1:2" x14ac:dyDescent="0.25">
      <c r="A15" s="25" t="s">
        <v>189</v>
      </c>
    </row>
    <row r="16" spans="1:2" x14ac:dyDescent="0.25">
      <c r="A16" s="8">
        <f>SUM(A4:A8)/COUNT(A4:A8)</f>
        <v>165</v>
      </c>
    </row>
    <row r="18" spans="1:7" x14ac:dyDescent="0.25">
      <c r="A18" s="25" t="s">
        <v>190</v>
      </c>
    </row>
    <row r="19" spans="1:7" x14ac:dyDescent="0.25">
      <c r="A19" s="54">
        <f>SUM(B4:B8)/COUNT(B4:B8)</f>
        <v>59</v>
      </c>
    </row>
    <row r="21" spans="1:7" x14ac:dyDescent="0.25">
      <c r="A21" s="75" t="s">
        <v>191</v>
      </c>
      <c r="B21" s="75" t="s">
        <v>192</v>
      </c>
      <c r="C21" s="53" t="s">
        <v>151</v>
      </c>
      <c r="D21" s="53" t="s">
        <v>152</v>
      </c>
      <c r="E21" s="53" t="s">
        <v>153</v>
      </c>
      <c r="F21" s="70"/>
      <c r="G21" s="70"/>
    </row>
    <row r="22" spans="1:7" x14ac:dyDescent="0.25">
      <c r="A22" s="75">
        <v>150</v>
      </c>
      <c r="B22" s="75">
        <v>50</v>
      </c>
      <c r="C22" s="53">
        <f>A22-A$16</f>
        <v>-15</v>
      </c>
      <c r="D22" s="53">
        <f>B22-A$19</f>
        <v>-9</v>
      </c>
      <c r="E22" s="53">
        <f>PRODUCT(C22,D22)</f>
        <v>135</v>
      </c>
    </row>
    <row r="23" spans="1:7" x14ac:dyDescent="0.25">
      <c r="A23" s="75">
        <v>160</v>
      </c>
      <c r="B23" s="75">
        <v>55</v>
      </c>
      <c r="C23" s="53">
        <f t="shared" ref="C23:C26" si="0">A23-A$16</f>
        <v>-5</v>
      </c>
      <c r="D23" s="53">
        <f t="shared" ref="D23:D26" si="1">B23-A$19</f>
        <v>-4</v>
      </c>
      <c r="E23" s="53">
        <f t="shared" ref="E23:E26" si="2">PRODUCT(C23,D23)</f>
        <v>20</v>
      </c>
    </row>
    <row r="24" spans="1:7" x14ac:dyDescent="0.25">
      <c r="A24" s="75">
        <v>165</v>
      </c>
      <c r="B24" s="75">
        <v>58</v>
      </c>
      <c r="C24" s="53">
        <f t="shared" si="0"/>
        <v>0</v>
      </c>
      <c r="D24" s="53">
        <f t="shared" si="1"/>
        <v>-1</v>
      </c>
      <c r="E24" s="53">
        <f t="shared" si="2"/>
        <v>0</v>
      </c>
    </row>
    <row r="25" spans="1:7" x14ac:dyDescent="0.25">
      <c r="A25" s="75">
        <v>170</v>
      </c>
      <c r="B25" s="75">
        <v>62</v>
      </c>
      <c r="C25" s="53">
        <f t="shared" si="0"/>
        <v>5</v>
      </c>
      <c r="D25" s="53">
        <f t="shared" si="1"/>
        <v>3</v>
      </c>
      <c r="E25" s="53">
        <f t="shared" si="2"/>
        <v>15</v>
      </c>
    </row>
    <row r="26" spans="1:7" x14ac:dyDescent="0.25">
      <c r="A26" s="75">
        <v>180</v>
      </c>
      <c r="B26" s="75">
        <v>70</v>
      </c>
      <c r="C26" s="53">
        <f t="shared" si="0"/>
        <v>15</v>
      </c>
      <c r="D26" s="53">
        <f t="shared" si="1"/>
        <v>11</v>
      </c>
      <c r="E26" s="53">
        <f t="shared" si="2"/>
        <v>165</v>
      </c>
    </row>
    <row r="28" spans="1:7" x14ac:dyDescent="0.25">
      <c r="A28" s="25" t="s">
        <v>193</v>
      </c>
    </row>
    <row r="29" spans="1:7" x14ac:dyDescent="0.25">
      <c r="A29" s="7">
        <f>SUM(E22:E26)</f>
        <v>335</v>
      </c>
    </row>
    <row r="31" spans="1:7" x14ac:dyDescent="0.25">
      <c r="A31" s="76" t="s">
        <v>15</v>
      </c>
    </row>
    <row r="32" spans="1:7" x14ac:dyDescent="0.25">
      <c r="A32" s="25" t="s">
        <v>194</v>
      </c>
    </row>
    <row r="33" spans="1:1" x14ac:dyDescent="0.25">
      <c r="A33" s="7">
        <f>A29/4</f>
        <v>83.75</v>
      </c>
    </row>
    <row r="35" spans="1:1" ht="18" x14ac:dyDescent="0.3">
      <c r="A35" s="74" t="s">
        <v>171</v>
      </c>
    </row>
    <row r="36" spans="1:1" x14ac:dyDescent="0.25">
      <c r="A36" s="73" t="s">
        <v>195</v>
      </c>
    </row>
    <row r="37" spans="1:1" x14ac:dyDescent="0.25">
      <c r="A37" s="73" t="s">
        <v>196</v>
      </c>
    </row>
    <row r="38" spans="1:1" x14ac:dyDescent="0.25">
      <c r="A38" s="7">
        <f>C22^2+C23^2+C24^2+C25^2+C26^2</f>
        <v>500</v>
      </c>
    </row>
    <row r="39" spans="1:1" ht="30" x14ac:dyDescent="0.25">
      <c r="A39" s="73" t="s">
        <v>197</v>
      </c>
    </row>
    <row r="40" spans="1:1" x14ac:dyDescent="0.25">
      <c r="A40" s="7">
        <f>SQRT(A38/4)</f>
        <v>11.180339887498949</v>
      </c>
    </row>
    <row r="42" spans="1:1" x14ac:dyDescent="0.25">
      <c r="A42" s="73" t="s">
        <v>198</v>
      </c>
    </row>
    <row r="43" spans="1:1" x14ac:dyDescent="0.25">
      <c r="A43" s="73" t="s">
        <v>199</v>
      </c>
    </row>
    <row r="44" spans="1:1" x14ac:dyDescent="0.25">
      <c r="A44" s="7">
        <f>D22^2+D23^2+D24^2+D25^2+D26^2</f>
        <v>228</v>
      </c>
    </row>
    <row r="46" spans="1:1" x14ac:dyDescent="0.25">
      <c r="A46" s="72" t="s">
        <v>200</v>
      </c>
    </row>
    <row r="47" spans="1:1" x14ac:dyDescent="0.25">
      <c r="A47" s="7">
        <f>SQRT(A44/4)</f>
        <v>7.5498344352707498</v>
      </c>
    </row>
    <row r="49" spans="1:1" x14ac:dyDescent="0.25">
      <c r="A49" s="72" t="s">
        <v>179</v>
      </c>
    </row>
    <row r="50" spans="1:1" x14ac:dyDescent="0.25">
      <c r="A50" s="72" t="s">
        <v>201</v>
      </c>
    </row>
    <row r="51" spans="1:1" x14ac:dyDescent="0.25">
      <c r="A51" s="7">
        <f>A40*A47</f>
        <v>84.409715080670665</v>
      </c>
    </row>
    <row r="53" spans="1:1" x14ac:dyDescent="0.25">
      <c r="A53" s="44">
        <f>A33/A51</f>
        <v>0.99218437024647965</v>
      </c>
    </row>
    <row r="55" spans="1:1" ht="45" x14ac:dyDescent="0.25">
      <c r="A55" s="71" t="s">
        <v>202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33C4-D6A3-42DE-899B-B6F9313544A4}">
  <dimension ref="A1:C13"/>
  <sheetViews>
    <sheetView workbookViewId="0">
      <selection activeCell="A13" sqref="A13"/>
    </sheetView>
  </sheetViews>
  <sheetFormatPr defaultRowHeight="15" x14ac:dyDescent="0.25"/>
  <cols>
    <col min="1" max="1" width="88.7109375" customWidth="1"/>
  </cols>
  <sheetData>
    <row r="1" spans="1:3" ht="57.75" customHeight="1" x14ac:dyDescent="0.25">
      <c r="A1" s="52" t="s">
        <v>203</v>
      </c>
      <c r="B1" s="25"/>
    </row>
    <row r="2" spans="1:3" x14ac:dyDescent="0.25">
      <c r="A2" s="77" t="s">
        <v>204</v>
      </c>
      <c r="B2" s="77"/>
      <c r="C2" s="70"/>
    </row>
    <row r="3" spans="1:3" x14ac:dyDescent="0.25">
      <c r="A3" s="78" t="s">
        <v>205</v>
      </c>
      <c r="B3" s="53" t="s">
        <v>206</v>
      </c>
      <c r="C3" s="70"/>
    </row>
    <row r="4" spans="1:3" x14ac:dyDescent="0.25">
      <c r="A4" s="53">
        <v>1</v>
      </c>
      <c r="B4" s="53">
        <v>15</v>
      </c>
    </row>
    <row r="5" spans="1:3" x14ac:dyDescent="0.25">
      <c r="A5" s="53">
        <v>2</v>
      </c>
      <c r="B5" s="53">
        <v>12</v>
      </c>
    </row>
    <row r="6" spans="1:3" x14ac:dyDescent="0.25">
      <c r="A6" s="53">
        <v>3</v>
      </c>
      <c r="B6" s="53">
        <v>9</v>
      </c>
    </row>
    <row r="7" spans="1:3" x14ac:dyDescent="0.25">
      <c r="A7" s="53">
        <v>4</v>
      </c>
      <c r="B7" s="53">
        <v>7</v>
      </c>
    </row>
    <row r="8" spans="1:3" x14ac:dyDescent="0.25">
      <c r="A8" s="53">
        <v>5</v>
      </c>
      <c r="B8" s="53">
        <v>3</v>
      </c>
    </row>
    <row r="11" spans="1:3" x14ac:dyDescent="0.25">
      <c r="A11" s="79" t="s">
        <v>3</v>
      </c>
    </row>
    <row r="13" spans="1:3" ht="135" x14ac:dyDescent="0.25">
      <c r="A13" s="8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A90A-1161-474D-800A-C861FAA986C7}">
  <dimension ref="A1:E58"/>
  <sheetViews>
    <sheetView workbookViewId="0">
      <selection activeCell="A49" sqref="A49:A50"/>
    </sheetView>
  </sheetViews>
  <sheetFormatPr defaultRowHeight="15" x14ac:dyDescent="0.25"/>
  <cols>
    <col min="1" max="1" width="51" customWidth="1"/>
    <col min="2" max="2" width="21.28515625" customWidth="1"/>
    <col min="3" max="3" width="21.85546875" customWidth="1"/>
  </cols>
  <sheetData>
    <row r="1" spans="1:3" ht="60" x14ac:dyDescent="0.25">
      <c r="A1" s="8" t="s">
        <v>208</v>
      </c>
      <c r="B1" s="7"/>
      <c r="C1" s="7"/>
    </row>
    <row r="2" spans="1:3" x14ac:dyDescent="0.25">
      <c r="A2" s="7"/>
      <c r="B2" s="7"/>
      <c r="C2" s="7"/>
    </row>
    <row r="3" spans="1:3" x14ac:dyDescent="0.25">
      <c r="A3" s="80" t="s">
        <v>209</v>
      </c>
      <c r="B3" s="81" t="s">
        <v>210</v>
      </c>
      <c r="C3" s="81" t="s">
        <v>211</v>
      </c>
    </row>
    <row r="4" spans="1:3" x14ac:dyDescent="0.25">
      <c r="A4" s="80">
        <v>1</v>
      </c>
      <c r="B4" s="80">
        <v>8</v>
      </c>
      <c r="C4" s="80">
        <v>6</v>
      </c>
    </row>
    <row r="5" spans="1:3" x14ac:dyDescent="0.25">
      <c r="A5" s="80">
        <v>2</v>
      </c>
      <c r="B5" s="80">
        <v>10</v>
      </c>
      <c r="C5" s="80">
        <v>9</v>
      </c>
    </row>
    <row r="6" spans="1:3" x14ac:dyDescent="0.25">
      <c r="A6" s="80">
        <v>3</v>
      </c>
      <c r="B6" s="80">
        <v>12</v>
      </c>
      <c r="C6" s="80">
        <v>11</v>
      </c>
    </row>
    <row r="7" spans="1:3" x14ac:dyDescent="0.25">
      <c r="A7" s="80">
        <v>4</v>
      </c>
      <c r="B7" s="80">
        <v>9</v>
      </c>
      <c r="C7" s="80">
        <v>8</v>
      </c>
    </row>
    <row r="8" spans="1:3" x14ac:dyDescent="0.25">
      <c r="A8" s="80">
        <v>5</v>
      </c>
      <c r="B8" s="80">
        <v>11</v>
      </c>
      <c r="C8" s="80">
        <v>10</v>
      </c>
    </row>
    <row r="10" spans="1:3" x14ac:dyDescent="0.25">
      <c r="A10" s="51" t="s">
        <v>3</v>
      </c>
    </row>
    <row r="12" spans="1:3" x14ac:dyDescent="0.25">
      <c r="A12" s="7" t="s">
        <v>188</v>
      </c>
    </row>
    <row r="13" spans="1:3" x14ac:dyDescent="0.25">
      <c r="A13" s="7" t="s">
        <v>163</v>
      </c>
    </row>
    <row r="14" spans="1:3" x14ac:dyDescent="0.25">
      <c r="A14" s="19">
        <f>SUM(B4:B8)/COUNT(B4:B8)</f>
        <v>10</v>
      </c>
    </row>
    <row r="16" spans="1:3" x14ac:dyDescent="0.25">
      <c r="A16" s="59" t="s">
        <v>212</v>
      </c>
    </row>
    <row r="17" spans="1:5" x14ac:dyDescent="0.25">
      <c r="A17" s="19">
        <f>SUM(C4:C8)/COUNT(C4:C8)</f>
        <v>8.8000000000000007</v>
      </c>
    </row>
    <row r="19" spans="1:5" x14ac:dyDescent="0.25">
      <c r="A19" s="59" t="s">
        <v>213</v>
      </c>
    </row>
    <row r="20" spans="1:5" x14ac:dyDescent="0.25">
      <c r="A20" s="81" t="s">
        <v>210</v>
      </c>
      <c r="B20" s="81" t="s">
        <v>211</v>
      </c>
      <c r="C20" s="19" t="s">
        <v>167</v>
      </c>
      <c r="D20" s="19" t="s">
        <v>168</v>
      </c>
      <c r="E20" s="19" t="s">
        <v>153</v>
      </c>
    </row>
    <row r="21" spans="1:5" x14ac:dyDescent="0.25">
      <c r="A21" s="80">
        <v>8</v>
      </c>
      <c r="B21" s="80">
        <v>6</v>
      </c>
      <c r="C21" s="19">
        <f>A21-A$14</f>
        <v>-2</v>
      </c>
      <c r="D21" s="19">
        <f>B21-A$17</f>
        <v>-2.8000000000000007</v>
      </c>
      <c r="E21" s="19">
        <f>PRODUCT(C21,D21)</f>
        <v>5.6000000000000014</v>
      </c>
    </row>
    <row r="22" spans="1:5" x14ac:dyDescent="0.25">
      <c r="A22" s="80">
        <v>10</v>
      </c>
      <c r="B22" s="80">
        <v>9</v>
      </c>
      <c r="C22" s="19">
        <f t="shared" ref="C22:C25" si="0">A22-A$14</f>
        <v>0</v>
      </c>
      <c r="D22" s="19">
        <f t="shared" ref="D22:D25" si="1">B22-A$17</f>
        <v>0.19999999999999929</v>
      </c>
      <c r="E22" s="19">
        <f t="shared" ref="E22:E25" si="2">PRODUCT(C22,D22)</f>
        <v>0</v>
      </c>
    </row>
    <row r="23" spans="1:5" x14ac:dyDescent="0.25">
      <c r="A23" s="80">
        <v>12</v>
      </c>
      <c r="B23" s="80">
        <v>11</v>
      </c>
      <c r="C23" s="19">
        <f t="shared" si="0"/>
        <v>2</v>
      </c>
      <c r="D23" s="19">
        <f t="shared" si="1"/>
        <v>2.1999999999999993</v>
      </c>
      <c r="E23" s="19">
        <f t="shared" si="2"/>
        <v>4.3999999999999986</v>
      </c>
    </row>
    <row r="24" spans="1:5" x14ac:dyDescent="0.25">
      <c r="A24" s="80">
        <v>9</v>
      </c>
      <c r="B24" s="80">
        <v>8</v>
      </c>
      <c r="C24" s="19">
        <f t="shared" si="0"/>
        <v>-1</v>
      </c>
      <c r="D24" s="19">
        <f t="shared" si="1"/>
        <v>-0.80000000000000071</v>
      </c>
      <c r="E24" s="19">
        <f t="shared" si="2"/>
        <v>0.80000000000000071</v>
      </c>
    </row>
    <row r="25" spans="1:5" x14ac:dyDescent="0.25">
      <c r="A25" s="80">
        <v>11</v>
      </c>
      <c r="B25" s="80">
        <v>10</v>
      </c>
      <c r="C25" s="19">
        <f t="shared" si="0"/>
        <v>1</v>
      </c>
      <c r="D25" s="19">
        <f t="shared" si="1"/>
        <v>1.1999999999999993</v>
      </c>
      <c r="E25" s="19">
        <f t="shared" si="2"/>
        <v>1.1999999999999993</v>
      </c>
    </row>
    <row r="27" spans="1:5" x14ac:dyDescent="0.25">
      <c r="A27" s="17" t="s">
        <v>169</v>
      </c>
    </row>
    <row r="28" spans="1:5" x14ac:dyDescent="0.25">
      <c r="A28" s="42">
        <f>SUM(E21:E25)</f>
        <v>12</v>
      </c>
    </row>
    <row r="30" spans="1:5" x14ac:dyDescent="0.25">
      <c r="A30" s="42" t="s">
        <v>15</v>
      </c>
    </row>
    <row r="32" spans="1:5" x14ac:dyDescent="0.25">
      <c r="A32" s="61" t="s">
        <v>214</v>
      </c>
    </row>
    <row r="33" spans="1:1" x14ac:dyDescent="0.25">
      <c r="A33" s="42">
        <f>A28/4</f>
        <v>3</v>
      </c>
    </row>
    <row r="35" spans="1:1" x14ac:dyDescent="0.25">
      <c r="A35" s="50" t="s">
        <v>171</v>
      </c>
    </row>
    <row r="36" spans="1:1" x14ac:dyDescent="0.25">
      <c r="A36" s="50" t="s">
        <v>215</v>
      </c>
    </row>
    <row r="37" spans="1:1" x14ac:dyDescent="0.25">
      <c r="A37" s="42">
        <f>C21^2+C22^2+C23^2+C24^2+C25^2</f>
        <v>10</v>
      </c>
    </row>
    <row r="39" spans="1:1" x14ac:dyDescent="0.25">
      <c r="A39" s="50" t="s">
        <v>174</v>
      </c>
    </row>
    <row r="40" spans="1:1" x14ac:dyDescent="0.25">
      <c r="A40" s="42">
        <f>SQRT(A37/4)</f>
        <v>1.5811388300841898</v>
      </c>
    </row>
    <row r="42" spans="1:1" x14ac:dyDescent="0.25">
      <c r="A42" s="50" t="s">
        <v>175</v>
      </c>
    </row>
    <row r="43" spans="1:1" x14ac:dyDescent="0.25">
      <c r="A43" s="50" t="s">
        <v>216</v>
      </c>
    </row>
    <row r="44" spans="1:1" x14ac:dyDescent="0.25">
      <c r="A44" s="42">
        <f>D21^2+D22^2+D23^2+D24^2+D25^2</f>
        <v>14.8</v>
      </c>
    </row>
    <row r="46" spans="1:1" x14ac:dyDescent="0.25">
      <c r="A46" s="50" t="s">
        <v>217</v>
      </c>
    </row>
    <row r="47" spans="1:1" x14ac:dyDescent="0.25">
      <c r="A47" s="42">
        <f>SQRT(A44/4)</f>
        <v>1.9235384061671346</v>
      </c>
    </row>
    <row r="49" spans="1:1" x14ac:dyDescent="0.25">
      <c r="A49" s="50" t="s">
        <v>179</v>
      </c>
    </row>
    <row r="50" spans="1:1" x14ac:dyDescent="0.25">
      <c r="A50" s="50" t="s">
        <v>218</v>
      </c>
    </row>
    <row r="52" spans="1:1" x14ac:dyDescent="0.25">
      <c r="A52" s="42">
        <f>A47*A40</f>
        <v>3.0413812651491101</v>
      </c>
    </row>
    <row r="54" spans="1:1" x14ac:dyDescent="0.25">
      <c r="A54" s="42">
        <f>A33/A52</f>
        <v>0.98639392383214364</v>
      </c>
    </row>
    <row r="56" spans="1:1" ht="15.75" x14ac:dyDescent="0.25">
      <c r="A56" s="82" t="s">
        <v>186</v>
      </c>
    </row>
    <row r="57" spans="1:1" x14ac:dyDescent="0.25">
      <c r="A57" s="9" t="s">
        <v>219</v>
      </c>
    </row>
    <row r="58" spans="1:1" x14ac:dyDescent="0.25">
      <c r="A58" s="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cp:revision/>
  <dcterms:created xsi:type="dcterms:W3CDTF">2026-01-06T14:11:39Z</dcterms:created>
  <dcterms:modified xsi:type="dcterms:W3CDTF">2026-01-06T18:21:20Z</dcterms:modified>
  <cp:category/>
  <cp:contentStatus/>
</cp:coreProperties>
</file>