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s://d.docs.live.net/b539340c23117647/"/>
    </mc:Choice>
  </mc:AlternateContent>
  <xr:revisionPtr revIDLastSave="0" documentId="8_{263197DF-3E8A-46F9-98E5-EB4E92582B2D}" xr6:coauthVersionLast="36" xr6:coauthVersionMax="36" xr10:uidLastSave="{00000000-0000-0000-0000-000000000000}"/>
  <bookViews>
    <workbookView xWindow="0" yWindow="0" windowWidth="20460" windowHeight="6795" xr2:uid="{0AAD543A-80A5-45A9-A395-110A018C31B9}"/>
  </bookViews>
  <sheets>
    <sheet name="Q.1" sheetId="1" r:id="rId1"/>
    <sheet name="Q.2" sheetId="2" r:id="rId2"/>
    <sheet name="Q.3" sheetId="3" r:id="rId3"/>
    <sheet name="Q.4" sheetId="4" r:id="rId4"/>
    <sheet name="Q.5" sheetId="5" r:id="rId5"/>
    <sheet name="Q.6" sheetId="6" r:id="rId6"/>
    <sheet name="Q.7" sheetId="7" r:id="rId7"/>
    <sheet name="Q.8" sheetId="8" r:id="rId8"/>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27" i="8" l="1"/>
  <c r="A16" i="8"/>
  <c r="A44" i="7"/>
  <c r="A56" i="7"/>
  <c r="A64" i="7"/>
  <c r="A30" i="7"/>
  <c r="A22" i="7"/>
  <c r="A13" i="7"/>
  <c r="A6" i="7"/>
  <c r="A46" i="6"/>
  <c r="A57" i="6"/>
  <c r="A37" i="6"/>
  <c r="A24" i="6"/>
  <c r="A16" i="6"/>
  <c r="A8" i="6"/>
  <c r="A18" i="4"/>
  <c r="A32" i="4"/>
  <c r="A54" i="4"/>
  <c r="A74" i="4"/>
  <c r="A32" i="3"/>
  <c r="A50" i="3"/>
  <c r="A68" i="3"/>
  <c r="A86" i="3"/>
  <c r="A17" i="3"/>
</calcChain>
</file>

<file path=xl/sharedStrings.xml><?xml version="1.0" encoding="utf-8"?>
<sst xmlns="http://schemas.openxmlformats.org/spreadsheetml/2006/main" count="247" uniqueCount="230">
  <si>
    <t>1. What is data cleaning, and why is it important?</t>
  </si>
  <si>
    <t>Why it’s important:</t>
  </si>
  <si>
    <t>2. Potential consequences of analyzing unclean or messy data</t>
  </si>
  <si>
    <t>Analyzing unclean data can lead to serious problems, including:</t>
  </si>
  <si>
    <t>3. Common steps involved in cleaning and organizing data</t>
  </si>
  <si>
    <t>Although the exact steps vary by project, data cleaning typically includes the following:</t>
  </si>
  <si>
    <t>1. Understanding the data</t>
  </si>
  <si>
    <t>Inspect data structure, variables, and data types</t>
  </si>
  <si>
    <t>Review metadata and data sources</t>
  </si>
  <si>
    <t>2. Handling missing values</t>
  </si>
  <si>
    <t>Remove records with too much missing data</t>
  </si>
  <si>
    <t>3. Removing duplicates</t>
  </si>
  <si>
    <t>4. Correcting errors and inconsistencies</t>
  </si>
  <si>
    <t>5. Standardizing formats</t>
  </si>
  <si>
    <t>6. Detecting and handling outliers</t>
  </si>
  <si>
    <t>7. Validating the cleaned data</t>
  </si>
  <si>
    <t>8. Documenting changes</t>
  </si>
  <si>
    <r>
      <t>Data cleaning</t>
    </r>
    <r>
      <rPr>
        <sz val="14"/>
        <color theme="1"/>
        <rFont val="Calibri"/>
        <family val="2"/>
        <scheme val="minor"/>
      </rPr>
      <t xml:space="preserve"> (also called data cleansing) is the process of identifying, correcting, or removing inaccurate, incomplete, inconsistent, duplicated, or irrelevant data from a dataset.</t>
    </r>
  </si>
  <si>
    <r>
      <t>Improves accuracy:</t>
    </r>
    <r>
      <rPr>
        <sz val="14"/>
        <color theme="1"/>
        <rFont val="Calibri"/>
        <family val="2"/>
        <scheme val="minor"/>
      </rPr>
      <t xml:space="preserve"> Clean data leads to more reliable analysis and results.</t>
    </r>
  </si>
  <si>
    <r>
      <t>Ensures consistency:</t>
    </r>
    <r>
      <rPr>
        <sz val="14"/>
        <color theme="1"/>
        <rFont val="Calibri"/>
        <family val="2"/>
        <scheme val="minor"/>
      </rPr>
      <t xml:space="preserve"> Standardized formats (dates, units, categories) prevent errors.</t>
    </r>
  </si>
  <si>
    <r>
      <t>Enhances model performance:</t>
    </r>
    <r>
      <rPr>
        <sz val="14"/>
        <color theme="1"/>
        <rFont val="Calibri"/>
        <family val="2"/>
        <scheme val="minor"/>
      </rPr>
      <t xml:space="preserve"> Statistical models and machine learning algorithms perform better with clean data.</t>
    </r>
  </si>
  <si>
    <r>
      <t>Saves time later:</t>
    </r>
    <r>
      <rPr>
        <sz val="14"/>
        <color theme="1"/>
        <rFont val="Calibri"/>
        <family val="2"/>
        <scheme val="minor"/>
      </rPr>
      <t xml:space="preserve"> Fixing issues early prevents repeated problems during analysis.</t>
    </r>
  </si>
  <si>
    <r>
      <t>Supports better decision-making:</t>
    </r>
    <r>
      <rPr>
        <sz val="14"/>
        <color theme="1"/>
        <rFont val="Calibri"/>
        <family val="2"/>
        <scheme val="minor"/>
      </rPr>
      <t xml:space="preserve"> Decisions based on clean data are more trustworthy.</t>
    </r>
  </si>
  <si>
    <r>
      <t xml:space="preserve">In short: </t>
    </r>
    <r>
      <rPr>
        <i/>
        <sz val="14"/>
        <color theme="1"/>
        <rFont val="Calibri"/>
        <family val="2"/>
        <scheme val="minor"/>
      </rPr>
      <t>garbage in, garbage out</t>
    </r>
    <r>
      <rPr>
        <sz val="14"/>
        <color theme="1"/>
        <rFont val="Calibri"/>
        <family val="2"/>
        <scheme val="minor"/>
      </rPr>
      <t>—if the data is poor, the analysis will be too.</t>
    </r>
  </si>
  <si>
    <r>
      <t>Incorrect conclusions:</t>
    </r>
    <r>
      <rPr>
        <sz val="14"/>
        <color theme="1"/>
        <rFont val="Calibri"/>
        <family val="2"/>
        <scheme val="minor"/>
      </rPr>
      <t xml:space="preserve"> Errors, duplicates, or missing values can skew results.</t>
    </r>
  </si>
  <si>
    <r>
      <t>Biased insights:</t>
    </r>
    <r>
      <rPr>
        <sz val="14"/>
        <color theme="1"/>
        <rFont val="Calibri"/>
        <family val="2"/>
        <scheme val="minor"/>
      </rPr>
      <t xml:space="preserve"> Incomplete or inconsistent data may overrepresent or underrepresent certain groups.</t>
    </r>
  </si>
  <si>
    <r>
      <t>Faulty predictions:</t>
    </r>
    <r>
      <rPr>
        <sz val="14"/>
        <color theme="1"/>
        <rFont val="Calibri"/>
        <family val="2"/>
        <scheme val="minor"/>
      </rPr>
      <t xml:space="preserve"> Machine learning models trained on messy data often perform poorly.</t>
    </r>
  </si>
  <si>
    <r>
      <t>Misleading visualizations:</t>
    </r>
    <r>
      <rPr>
        <sz val="14"/>
        <color theme="1"/>
        <rFont val="Calibri"/>
        <family val="2"/>
        <scheme val="minor"/>
      </rPr>
      <t xml:space="preserve"> Charts and dashboards may show false trends or outliers.</t>
    </r>
  </si>
  <si>
    <r>
      <t>Wasted resources:</t>
    </r>
    <r>
      <rPr>
        <sz val="14"/>
        <color theme="1"/>
        <rFont val="Calibri"/>
        <family val="2"/>
        <scheme val="minor"/>
      </rPr>
      <t xml:space="preserve"> Time and money may be spent acting on wrong insights.</t>
    </r>
  </si>
  <si>
    <r>
      <t>Loss of credibility:</t>
    </r>
    <r>
      <rPr>
        <sz val="14"/>
        <color theme="1"/>
        <rFont val="Calibri"/>
        <family val="2"/>
        <scheme val="minor"/>
      </rPr>
      <t xml:space="preserve"> Stakeholders may lose trust in the analysis or analyst.</t>
    </r>
  </si>
  <si>
    <t>.Check ranges, constraints, and business rules</t>
  </si>
  <si>
    <t>.Re-run summaries and sanity checks</t>
  </si>
  <si>
    <t>.Record what was changed and why</t>
  </si>
  <si>
    <t>.Ensure reproducibility and transparency.</t>
  </si>
  <si>
    <t>.Decide whether to keep, transform, or remove them</t>
  </si>
  <si>
    <t>.Identify unusual values using statistical methods</t>
  </si>
  <si>
    <t>.Standardize units (kg vs. lbs, meters vs. feet)</t>
  </si>
  <si>
    <t>.Convert data types (text to numbers, date formats)</t>
  </si>
  <si>
    <t>.Correct invalid values (negative ages, impossible dates)</t>
  </si>
  <si>
    <t>.Standardize categories (e.g., “USA” vs. “United States”)</t>
  </si>
  <si>
    <t>.Fix typos and spelling errors</t>
  </si>
  <si>
    <t>.Keep the most accurate or recent entry</t>
  </si>
  <si>
    <t>.Identify duplicate rows or records</t>
  </si>
  <si>
    <t>.Flag missing values if they are meaningful</t>
  </si>
  <si>
    <t>.Fill missing values (mean, median, mode, interpolation)</t>
  </si>
  <si>
    <t>Q.2 How would you sort the following dataset first by "Department" (A-Z) and then by "Salary" (Largest to Smallest)? Write a step-by-step approach.</t>
  </si>
  <si>
    <t>EMPLOYEE       DEPARTMENT         SALARY</t>
  </si>
  <si>
    <t>Sonu                            IT                          4000</t>
  </si>
  <si>
    <t>Pranav                       HR                         5000</t>
  </si>
  <si>
    <t>Rahul                          IT                          2500</t>
  </si>
  <si>
    <t>Step-by-Step Sorting Approach</t>
  </si>
  <si>
    <t>Step 1: Identify the primary and secondary sorting keys</t>
  </si>
  <si>
    <r>
      <t>Secondary key:</t>
    </r>
    <r>
      <rPr>
        <sz val="11"/>
        <color theme="1"/>
        <rFont val="Calibri"/>
        <family val="2"/>
        <scheme val="minor"/>
      </rPr>
      <t xml:space="preserve"> Salary (Largest to Smallest)</t>
    </r>
  </si>
  <si>
    <t>Step 2: Sort by Department (A–Z)</t>
  </si>
  <si>
    <t>Alphabetical order of departments:</t>
  </si>
  <si>
    <t>HR</t>
  </si>
  <si>
    <t>IT</t>
  </si>
  <si>
    <t>After sorting by Department:</t>
  </si>
  <si>
    <t>Employee       Department      Salary</t>
  </si>
  <si>
    <t>Pranav                  HR                     5000</t>
  </si>
  <si>
    <t>Sonu                      IT                       4000</t>
  </si>
  <si>
    <t>Rahul                     IT                       2500</t>
  </si>
  <si>
    <t>Step 3: Sort by Salary within each Department (Descending)</t>
  </si>
  <si>
    <t>Sonu → 4000</t>
  </si>
  <si>
    <t>Rahul → 2500</t>
  </si>
  <si>
    <t>(Already in descending order)</t>
  </si>
  <si>
    <t>Step 4: Final Sorted Dataset</t>
  </si>
  <si>
    <t>Employee      Department      Salary</t>
  </si>
  <si>
    <t>Pranav               HR                        5000</t>
  </si>
  <si>
    <t>Sonu                   IT                          4000</t>
  </si>
  <si>
    <t>Rahul                  IT                          2500</t>
  </si>
  <si>
    <r>
      <t xml:space="preserve">.The dataset is first grouped alphabetically by </t>
    </r>
    <r>
      <rPr>
        <b/>
        <sz val="11"/>
        <color theme="1"/>
        <rFont val="Calibri"/>
        <family val="2"/>
        <scheme val="minor"/>
      </rPr>
      <t>Department</t>
    </r>
  </si>
  <si>
    <r>
      <t xml:space="preserve">.Within each department, employees are ordered by </t>
    </r>
    <r>
      <rPr>
        <b/>
        <sz val="11"/>
        <color theme="1"/>
        <rFont val="Calibri"/>
        <family val="2"/>
        <scheme val="minor"/>
      </rPr>
      <t>Salary from highest to lowest.</t>
    </r>
  </si>
  <si>
    <r>
      <rPr>
        <b/>
        <sz val="11"/>
        <color theme="5"/>
        <rFont val="Calibri"/>
        <family val="2"/>
        <scheme val="minor"/>
      </rPr>
      <t>HR Department</t>
    </r>
    <r>
      <rPr>
        <b/>
        <sz val="11"/>
        <color theme="1"/>
        <rFont val="Calibri"/>
        <family val="2"/>
        <scheme val="minor"/>
      </rPr>
      <t>:</t>
    </r>
    <r>
      <rPr>
        <sz val="11"/>
        <color theme="1"/>
        <rFont val="Calibri"/>
        <family val="2"/>
        <scheme val="minor"/>
      </rPr>
      <t xml:space="preserve"> Only one employee → no change</t>
    </r>
  </si>
  <si>
    <r>
      <rPr>
        <b/>
        <sz val="11"/>
        <color rgb="FFFF0000"/>
        <rFont val="Calibri"/>
        <family val="2"/>
        <scheme val="minor"/>
      </rPr>
      <t>IT Department</t>
    </r>
    <r>
      <rPr>
        <b/>
        <sz val="11"/>
        <color theme="1"/>
        <rFont val="Calibri"/>
        <family val="2"/>
        <scheme val="minor"/>
      </rPr>
      <t>:</t>
    </r>
  </si>
  <si>
    <r>
      <rPr>
        <b/>
        <sz val="11"/>
        <color theme="4" tint="-0.499984740745262"/>
        <rFont val="Calibri"/>
        <family val="2"/>
        <scheme val="minor"/>
      </rPr>
      <t>Primary key:</t>
    </r>
    <r>
      <rPr>
        <sz val="11"/>
        <color theme="4" tint="-0.499984740745262"/>
        <rFont val="Calibri"/>
        <family val="2"/>
        <scheme val="minor"/>
      </rPr>
      <t xml:space="preserve"> Department (A–Z)</t>
    </r>
  </si>
  <si>
    <t>Q.3  Explain the use of text functions such as TRIM , LEFT, RIGHT, MID, and CONCAT in data cleaning.</t>
  </si>
  <si>
    <t>Answer:</t>
  </si>
  <si>
    <t>ANSWER:</t>
  </si>
  <si>
    <t>1. TRIM()</t>
  </si>
  <si>
    <t>Use: Remove extra spaces</t>
  </si>
  <si>
    <r>
      <t xml:space="preserve">Removes </t>
    </r>
    <r>
      <rPr>
        <b/>
        <sz val="11"/>
        <color theme="1"/>
        <rFont val="Calibri"/>
        <family val="2"/>
        <scheme val="minor"/>
      </rPr>
      <t>leading, trailing, and extra spaces</t>
    </r>
    <r>
      <rPr>
        <sz val="11"/>
        <color theme="1"/>
        <rFont val="Calibri"/>
        <family val="2"/>
        <scheme val="minor"/>
      </rPr>
      <t xml:space="preserve"> between words (except single spaces).</t>
    </r>
  </si>
  <si>
    <t>Why it’s useful</t>
  </si>
  <si>
    <t>Prevents mismatches when comparing or joining text fields.</t>
  </si>
  <si>
    <t>Fixes data imported from forms or external systems.</t>
  </si>
  <si>
    <t>Example</t>
  </si>
  <si>
    <r>
      <t>Result:</t>
    </r>
    <r>
      <rPr>
        <sz val="11"/>
        <color theme="1"/>
        <rFont val="Calibri"/>
        <family val="2"/>
        <scheme val="minor"/>
      </rPr>
      <t xml:space="preserve"> </t>
    </r>
    <r>
      <rPr>
        <sz val="10"/>
        <color theme="1"/>
        <rFont val="Arial Unicode MS"/>
      </rPr>
      <t>John Smith</t>
    </r>
  </si>
  <si>
    <t>2. LEFT()</t>
  </si>
  <si>
    <t>Use: Extract text from the beginning</t>
  </si>
  <si>
    <r>
      <t xml:space="preserve">Extracts a specified number of characters from the </t>
    </r>
    <r>
      <rPr>
        <b/>
        <sz val="11"/>
        <color theme="1"/>
        <rFont val="Calibri"/>
        <family val="2"/>
        <scheme val="minor"/>
      </rPr>
      <t>left side</t>
    </r>
    <r>
      <rPr>
        <sz val="11"/>
        <color theme="1"/>
        <rFont val="Calibri"/>
        <family val="2"/>
        <scheme val="minor"/>
      </rPr>
      <t xml:space="preserve"> of a text string.</t>
    </r>
  </si>
  <si>
    <t>Useful for extracting codes, prefixes, or country identifiers.</t>
  </si>
  <si>
    <r>
      <t>Result:</t>
    </r>
    <r>
      <rPr>
        <sz val="11"/>
        <color theme="1"/>
        <rFont val="Calibri"/>
        <family val="2"/>
        <scheme val="minor"/>
      </rPr>
      <t xml:space="preserve"> </t>
    </r>
    <r>
      <rPr>
        <sz val="10"/>
        <color theme="1"/>
        <rFont val="Arial Unicode MS"/>
      </rPr>
      <t>EMP</t>
    </r>
  </si>
  <si>
    <t>3. RIGHT()</t>
  </si>
  <si>
    <t>Use: Extract text from the end</t>
  </si>
  <si>
    <r>
      <t xml:space="preserve">Extracts a specified number of characters from the </t>
    </r>
    <r>
      <rPr>
        <b/>
        <sz val="11"/>
        <color theme="1"/>
        <rFont val="Calibri"/>
        <family val="2"/>
        <scheme val="minor"/>
      </rPr>
      <t>right side</t>
    </r>
    <r>
      <rPr>
        <sz val="11"/>
        <color theme="1"/>
        <rFont val="Calibri"/>
        <family val="2"/>
        <scheme val="minor"/>
      </rPr>
      <t xml:space="preserve"> of a text string.</t>
    </r>
  </si>
  <si>
    <t>Useful for extracting years, IDs, or suffixes.</t>
  </si>
  <si>
    <r>
      <t>Result:</t>
    </r>
    <r>
      <rPr>
        <sz val="11"/>
        <color theme="1"/>
        <rFont val="Calibri"/>
        <family val="2"/>
        <scheme val="minor"/>
      </rPr>
      <t xml:space="preserve"> </t>
    </r>
    <r>
      <rPr>
        <sz val="10"/>
        <color theme="1"/>
        <rFont val="Arial Unicode MS"/>
      </rPr>
      <t>2024</t>
    </r>
  </si>
  <si>
    <t>4. MID()</t>
  </si>
  <si>
    <t>Use: Extract text from the middle</t>
  </si>
  <si>
    <t>Extracts a specific number of characters from a text string, starting at a given position.</t>
  </si>
  <si>
    <t>Helpful when data is embedded within a longer string.</t>
  </si>
  <si>
    <r>
      <t>Result:</t>
    </r>
    <r>
      <rPr>
        <sz val="11"/>
        <color theme="1"/>
        <rFont val="Calibri"/>
        <family val="2"/>
        <scheme val="minor"/>
      </rPr>
      <t xml:space="preserve"> </t>
    </r>
    <r>
      <rPr>
        <sz val="10"/>
        <color theme="1"/>
        <rFont val="Arial Unicode MS"/>
      </rPr>
      <t>567</t>
    </r>
  </si>
  <si>
    <t>5. CONCAT()</t>
  </si>
  <si>
    <t>Use: Combine text fields</t>
  </si>
  <si>
    <t>Joins multiple text strings into one.</t>
  </si>
  <si>
    <t>Helps create standardized fields such as full names, addresses, or IDs.</t>
  </si>
  <si>
    <r>
      <t>Result:</t>
    </r>
    <r>
      <rPr>
        <sz val="11"/>
        <color theme="1"/>
        <rFont val="Calibri"/>
        <family val="2"/>
        <scheme val="minor"/>
      </rPr>
      <t xml:space="preserve"> </t>
    </r>
    <r>
      <rPr>
        <sz val="10"/>
        <color theme="1"/>
        <rFont val="Arial Unicode MS"/>
      </rPr>
      <t>John Doe</t>
    </r>
  </si>
  <si>
    <t>How These Functions Help in Data Cleaning</t>
  </si>
  <si>
    <t>Function</t>
  </si>
  <si>
    <t>Data Cleaning Purpose</t>
  </si>
  <si>
    <t>TRIM</t>
  </si>
  <si>
    <t>Removes unwanted spaces</t>
  </si>
  <si>
    <t>LEFT</t>
  </si>
  <si>
    <t>Extracts prefixes or codes</t>
  </si>
  <si>
    <t>RIGHT</t>
  </si>
  <si>
    <t>Extracts suffixes or years</t>
  </si>
  <si>
    <t>MID</t>
  </si>
  <si>
    <t>Pulls values from fixed positions</t>
  </si>
  <si>
    <t>CONCAT</t>
  </si>
  <si>
    <t>Combines separate fields into one</t>
  </si>
  <si>
    <t>Role of date functions like TODAY() in managing datasets</t>
  </si>
  <si>
    <t>1. Automatic tracking of current date</t>
  </si>
  <si>
    <r>
      <t>TODAY()</t>
    </r>
    <r>
      <rPr>
        <sz val="11"/>
        <color theme="1"/>
        <rFont val="Calibri"/>
        <family val="2"/>
        <scheme val="minor"/>
      </rPr>
      <t xml:space="preserve"> returns the </t>
    </r>
    <r>
      <rPr>
        <b/>
        <sz val="11"/>
        <color theme="1"/>
        <rFont val="Calibri"/>
        <family val="2"/>
        <scheme val="minor"/>
      </rPr>
      <t>current system date</t>
    </r>
    <r>
      <rPr>
        <sz val="11"/>
        <color theme="1"/>
        <rFont val="Calibri"/>
        <family val="2"/>
        <scheme val="minor"/>
      </rPr>
      <t>.</t>
    </r>
  </si>
  <si>
    <t>It updates automatically whenever the file is opened or recalculated.</t>
  </si>
  <si>
    <t>Example (Excel):</t>
  </si>
  <si>
    <r>
      <t>Result:</t>
    </r>
    <r>
      <rPr>
        <sz val="11"/>
        <color theme="1"/>
        <rFont val="Calibri"/>
        <family val="2"/>
        <scheme val="minor"/>
      </rPr>
      <t xml:space="preserve"> Current date (e.g., 16-Dec-2025)</t>
    </r>
  </si>
  <si>
    <t>2. Monitoring data freshness</t>
  </si>
  <si>
    <r>
      <t xml:space="preserve">Helps identify whether data is </t>
    </r>
    <r>
      <rPr>
        <b/>
        <sz val="11"/>
        <color theme="1"/>
        <rFont val="Calibri"/>
        <family val="2"/>
        <scheme val="minor"/>
      </rPr>
      <t>up-to-date</t>
    </r>
    <r>
      <rPr>
        <sz val="11"/>
        <color theme="1"/>
        <rFont val="Calibri"/>
        <family val="2"/>
        <scheme val="minor"/>
      </rPr>
      <t xml:space="preserve"> or </t>
    </r>
    <r>
      <rPr>
        <b/>
        <sz val="11"/>
        <color theme="1"/>
        <rFont val="Calibri"/>
        <family val="2"/>
        <scheme val="minor"/>
      </rPr>
      <t>outdated</t>
    </r>
    <r>
      <rPr>
        <sz val="11"/>
        <color theme="1"/>
        <rFont val="Calibri"/>
        <family val="2"/>
        <scheme val="minor"/>
      </rPr>
      <t>.</t>
    </r>
  </si>
  <si>
    <t>Commonly used to calculate how old a record is.</t>
  </si>
  <si>
    <t>Example:</t>
  </si>
  <si>
    <t>(Where A2 contains a transaction date)</t>
  </si>
  <si>
    <t>3. Calculating time-based metrics</t>
  </si>
  <si>
    <t>Used to calculate:</t>
  </si>
  <si>
    <t>Age</t>
  </si>
  <si>
    <t>Tenure</t>
  </si>
  <si>
    <t>Days overdue</t>
  </si>
  <si>
    <t>Project duration</t>
  </si>
  <si>
    <t>Calculates number of days since a given date.</t>
  </si>
  <si>
    <t>4. Automating reports</t>
  </si>
  <si>
    <r>
      <t xml:space="preserve">Ensures dashboards and reports </t>
    </r>
    <r>
      <rPr>
        <b/>
        <sz val="11"/>
        <color theme="1"/>
        <rFont val="Calibri"/>
        <family val="2"/>
        <scheme val="minor"/>
      </rPr>
      <t>update automatically</t>
    </r>
    <r>
      <rPr>
        <sz val="11"/>
        <color theme="1"/>
        <rFont val="Calibri"/>
        <family val="2"/>
        <scheme val="minor"/>
      </rPr>
      <t xml:space="preserve"> without manual date entry.</t>
    </r>
  </si>
  <si>
    <t>Useful for daily, weekly, or monthly reporting.</t>
  </si>
  <si>
    <t>5. Filtering and flagging records</t>
  </si>
  <si>
    <t>Can flag records based on time conditions.</t>
  </si>
  <si>
    <t>Used for expiry dates, deadlines, or subscriptions.</t>
  </si>
  <si>
    <t>6. Supporting trend and time-series analysis</t>
  </si>
  <si>
    <t>Helps compare current data with historical data.</t>
  </si>
  <si>
    <t>Useful for identifying patterns over time.</t>
  </si>
  <si>
    <r>
      <rPr>
        <sz val="11"/>
        <color rgb="FFFF0000"/>
        <rFont val="Calibri"/>
        <family val="2"/>
        <scheme val="minor"/>
      </rPr>
      <t xml:space="preserve">Date functions play an important role in </t>
    </r>
    <r>
      <rPr>
        <b/>
        <sz val="11"/>
        <color rgb="FFFF0000"/>
        <rFont val="Calibri"/>
        <family val="2"/>
        <scheme val="minor"/>
      </rPr>
      <t>managing, updating, and analyzing datasets</t>
    </r>
    <r>
      <rPr>
        <sz val="11"/>
        <color rgb="FFFF0000"/>
        <rFont val="Calibri"/>
        <family val="2"/>
        <scheme val="minor"/>
      </rPr>
      <t xml:space="preserve">, especially when data changes over time. A commonly used date function is </t>
    </r>
    <r>
      <rPr>
        <b/>
        <sz val="11"/>
        <color rgb="FFFF0000"/>
        <rFont val="Calibri"/>
        <family val="2"/>
        <scheme val="minor"/>
      </rPr>
      <t>TODAY()</t>
    </r>
    <r>
      <rPr>
        <sz val="11"/>
        <color rgb="FFFF0000"/>
        <rFont val="Calibri"/>
        <family val="2"/>
        <scheme val="minor"/>
      </rPr>
      <t>.</t>
    </r>
  </si>
  <si>
    <t>Q.4 What is the role of date functions like TODAY in managing datasets?</t>
  </si>
  <si>
    <t>Q.5 Apply Data Validation to restrict Quantity values to only whole numbers between 1 and 10.
a. Configure an input message that appears when a user selects a cell in the "Quantity" column explaining:_x000B_
"Please enter a whole number between 1 and 10."
b. Set up an error alert message that triggers if the user enters a number less than 1 or greater than 10, 
showing:_x000B_
"Invalid input! The quantity must be a whole number between 1 and 10."</t>
  </si>
  <si>
    <t>Write a step-by-step approach for this question</t>
  </si>
  <si>
    <t>CUSTOMER NAME           PRODUCT NAME          CATEGORY        QUANTITY         UNIT PRICE  ($)</t>
  </si>
  <si>
    <t>Daniel Johnson                   Backpack                    Electronics                                             160</t>
  </si>
  <si>
    <t>Michael Johnson                 Table Lamp               Home Décor                                          423</t>
  </si>
  <si>
    <t>Alex Moore                           Shoes                        Electronics                                             500</t>
  </si>
  <si>
    <t>Daniel Davis                          Sofa                           Clothing                                                 239</t>
  </si>
  <si>
    <t>Isabella Moore                     Laptop                        Electronics                                            121</t>
  </si>
  <si>
    <t>Jane Smith                              Shoes                       Electronics                                            81</t>
  </si>
  <si>
    <t>Isabella Davis                      Headphones             Electronics                                             348</t>
  </si>
  <si>
    <t>Alex Wilson                         T-shirt                         Home Décor                                         369</t>
  </si>
  <si>
    <t>Jane Davis                            Headphones             Electronics                                            152</t>
  </si>
  <si>
    <t>QUANTITY</t>
  </si>
  <si>
    <t>Now check quantity:</t>
  </si>
  <si>
    <t>Q.6 Understand and apply fundamental text functions like LEFT, RIGHT, MID, and LEN.                                                                                                                                                                                              .Extract the first 5 characters from the string "ExcelTipsAreGreat" using the LEFT function.                                                                                                                                                                                    .Extract the last 4 characters from "DataAnalysis.xlsx" using the RIGHT function.                                                                                                                                                                                                             .Extract the substring "Tips" from "ExcelTipsAreGreat" using the MID function.                                                                                                                                                                                                         . Count the total number of characters in the string "Hello World!" using the LEN function.                                                                                                                                                                                    . Create a formula to extract the middle 6 characters from "12345-67890-ABCDE".</t>
  </si>
  <si>
    <t>1. Extract the first 5 characters from “ExcelTipsAreGreat”</t>
  </si>
  <si>
    <r>
      <t xml:space="preserve">Use the </t>
    </r>
    <r>
      <rPr>
        <b/>
        <sz val="11"/>
        <color theme="1"/>
        <rFont val="Calibri"/>
        <family val="2"/>
        <scheme val="minor"/>
      </rPr>
      <t>LEFT</t>
    </r>
    <r>
      <rPr>
        <sz val="11"/>
        <color theme="1"/>
        <rFont val="Calibri"/>
        <family val="2"/>
        <scheme val="minor"/>
      </rPr>
      <t xml:space="preserve"> function:</t>
    </r>
  </si>
  <si>
    <r>
      <t>Result:</t>
    </r>
    <r>
      <rPr>
        <sz val="11"/>
        <color theme="1"/>
        <rFont val="Calibri"/>
        <family val="2"/>
        <scheme val="minor"/>
      </rPr>
      <t xml:space="preserve"> </t>
    </r>
    <r>
      <rPr>
        <sz val="10"/>
        <color theme="1"/>
        <rFont val="Arial Unicode MS"/>
      </rPr>
      <t>"Excel"</t>
    </r>
  </si>
  <si>
    <r>
      <t xml:space="preserve">The LEFT function returns the first </t>
    </r>
    <r>
      <rPr>
        <i/>
        <sz val="11"/>
        <color theme="1"/>
        <rFont val="Calibri"/>
        <family val="2"/>
        <scheme val="minor"/>
      </rPr>
      <t>n</t>
    </r>
    <r>
      <rPr>
        <sz val="11"/>
        <color theme="1"/>
        <rFont val="Calibri"/>
        <family val="2"/>
        <scheme val="minor"/>
      </rPr>
      <t xml:space="preserve"> characters from the left of a text string.</t>
    </r>
  </si>
  <si>
    <t>2. Extract the last 4 characters from “DataAnalysis.xlsx”</t>
  </si>
  <si>
    <r>
      <t xml:space="preserve">Use the </t>
    </r>
    <r>
      <rPr>
        <b/>
        <sz val="11"/>
        <color theme="1"/>
        <rFont val="Calibri"/>
        <family val="2"/>
        <scheme val="minor"/>
      </rPr>
      <t>RIGHT</t>
    </r>
    <r>
      <rPr>
        <sz val="11"/>
        <color theme="1"/>
        <rFont val="Calibri"/>
        <family val="2"/>
        <scheme val="minor"/>
      </rPr>
      <t xml:space="preserve"> function:</t>
    </r>
  </si>
  <si>
    <r>
      <t>Result:</t>
    </r>
    <r>
      <rPr>
        <sz val="11"/>
        <color theme="1"/>
        <rFont val="Calibri"/>
        <family val="2"/>
        <scheme val="minor"/>
      </rPr>
      <t xml:space="preserve"> </t>
    </r>
    <r>
      <rPr>
        <sz val="10"/>
        <color theme="1"/>
        <rFont val="Arial Unicode MS"/>
      </rPr>
      <t>"xlsx"</t>
    </r>
  </si>
  <si>
    <t>The RIGHT function returns the specified number of characters from the right end of a string.</t>
  </si>
  <si>
    <t>3. Extract the substring “Tips” from “ExcelTipsAreGreat”</t>
  </si>
  <si>
    <r>
      <t xml:space="preserve">Use the </t>
    </r>
    <r>
      <rPr>
        <b/>
        <sz val="11"/>
        <color theme="1"/>
        <rFont val="Calibri"/>
        <family val="2"/>
        <scheme val="minor"/>
      </rPr>
      <t>MID</t>
    </r>
    <r>
      <rPr>
        <sz val="11"/>
        <color theme="1"/>
        <rFont val="Calibri"/>
        <family val="2"/>
        <scheme val="minor"/>
      </rPr>
      <t xml:space="preserve"> function:</t>
    </r>
  </si>
  <si>
    <t>Explanation:</t>
  </si>
  <si>
    <r>
      <t xml:space="preserve">Start at position </t>
    </r>
    <r>
      <rPr>
        <b/>
        <sz val="11"/>
        <color theme="1"/>
        <rFont val="Calibri"/>
        <family val="2"/>
        <scheme val="minor"/>
      </rPr>
      <t>6</t>
    </r>
    <r>
      <rPr>
        <sz val="11"/>
        <color theme="1"/>
        <rFont val="Calibri"/>
        <family val="2"/>
        <scheme val="minor"/>
      </rPr>
      <t xml:space="preserve"> (E–x–c–e–l = first 5 characters, so the 6th character begins “Tips”)</t>
    </r>
  </si>
  <si>
    <r>
      <t xml:space="preserve">Extract </t>
    </r>
    <r>
      <rPr>
        <b/>
        <sz val="11"/>
        <color theme="1"/>
        <rFont val="Calibri"/>
        <family val="2"/>
        <scheme val="minor"/>
      </rPr>
      <t>4</t>
    </r>
    <r>
      <rPr>
        <sz val="11"/>
        <color theme="1"/>
        <rFont val="Calibri"/>
        <family val="2"/>
        <scheme val="minor"/>
      </rPr>
      <t xml:space="preserve"> characters</t>
    </r>
  </si>
  <si>
    <r>
      <t>Result:</t>
    </r>
    <r>
      <rPr>
        <sz val="11"/>
        <color theme="1"/>
        <rFont val="Calibri"/>
        <family val="2"/>
        <scheme val="minor"/>
      </rPr>
      <t xml:space="preserve"> </t>
    </r>
    <r>
      <rPr>
        <sz val="10"/>
        <color theme="1"/>
        <rFont val="Arial Unicode MS"/>
      </rPr>
      <t>"Tips"</t>
    </r>
  </si>
  <si>
    <t>The MID function extracts text from any position by specifying a start and length.</t>
  </si>
  <si>
    <t>4. Count the total number of characters in “Hello World!”</t>
  </si>
  <si>
    <r>
      <t xml:space="preserve">Use the </t>
    </r>
    <r>
      <rPr>
        <b/>
        <sz val="11"/>
        <color theme="1"/>
        <rFont val="Calibri"/>
        <family val="2"/>
        <scheme val="minor"/>
      </rPr>
      <t>LEN</t>
    </r>
    <r>
      <rPr>
        <sz val="11"/>
        <color theme="1"/>
        <rFont val="Calibri"/>
        <family val="2"/>
        <scheme val="minor"/>
      </rPr>
      <t xml:space="preserve"> function:</t>
    </r>
  </si>
  <si>
    <r>
      <t>Result:</t>
    </r>
    <r>
      <rPr>
        <sz val="11"/>
        <color theme="1"/>
        <rFont val="Calibri"/>
        <family val="2"/>
        <scheme val="minor"/>
      </rPr>
      <t xml:space="preserve"> </t>
    </r>
    <r>
      <rPr>
        <sz val="10"/>
        <color theme="1"/>
        <rFont val="Arial Unicode MS"/>
      </rPr>
      <t>12</t>
    </r>
  </si>
  <si>
    <t>This counts all characters, including the space and punctuation.</t>
  </si>
  <si>
    <t>5. Formula to extract the middle 6 characters from “12345-67890-ABCDE”</t>
  </si>
  <si>
    <r>
      <t xml:space="preserve">To extract </t>
    </r>
    <r>
      <rPr>
        <b/>
        <sz val="11"/>
        <color theme="1"/>
        <rFont val="Calibri"/>
        <family val="2"/>
        <scheme val="minor"/>
      </rPr>
      <t>six characters from the middle</t>
    </r>
    <r>
      <rPr>
        <sz val="11"/>
        <color theme="1"/>
        <rFont val="Calibri"/>
        <family val="2"/>
        <scheme val="minor"/>
      </rPr>
      <t>, first identify where the sequence starts. If the hyphens are at positions 6 and 12:</t>
    </r>
  </si>
  <si>
    <r>
      <t xml:space="preserve">Start at position </t>
    </r>
    <r>
      <rPr>
        <b/>
        <sz val="11"/>
        <color theme="1"/>
        <rFont val="Calibri"/>
        <family val="2"/>
        <scheme val="minor"/>
      </rPr>
      <t>7</t>
    </r>
    <r>
      <rPr>
        <sz val="11"/>
        <color theme="1"/>
        <rFont val="Calibri"/>
        <family val="2"/>
        <scheme val="minor"/>
      </rPr>
      <t xml:space="preserve"> (the first character after the first hyphen)</t>
    </r>
  </si>
  <si>
    <r>
      <t xml:space="preserve">Extract </t>
    </r>
    <r>
      <rPr>
        <b/>
        <sz val="11"/>
        <color theme="1"/>
        <rFont val="Calibri"/>
        <family val="2"/>
        <scheme val="minor"/>
      </rPr>
      <t>6 characters</t>
    </r>
  </si>
  <si>
    <r>
      <t>Result:</t>
    </r>
    <r>
      <rPr>
        <sz val="11"/>
        <color theme="1"/>
        <rFont val="Calibri"/>
        <family val="2"/>
        <scheme val="minor"/>
      </rPr>
      <t xml:space="preserve"> </t>
    </r>
    <r>
      <rPr>
        <sz val="10"/>
        <color theme="1"/>
        <rFont val="Arial Unicode MS"/>
      </rPr>
      <t>"67890-"</t>
    </r>
  </si>
  <si>
    <r>
      <t xml:space="preserve">If instead you want to extract the 6 digits </t>
    </r>
    <r>
      <rPr>
        <b/>
        <sz val="11"/>
        <color theme="1"/>
        <rFont val="Calibri"/>
        <family val="2"/>
        <scheme val="minor"/>
      </rPr>
      <t>after both hyphens</t>
    </r>
    <r>
      <rPr>
        <sz val="11"/>
        <color theme="1"/>
        <rFont val="Calibri"/>
        <family val="2"/>
        <scheme val="minor"/>
      </rPr>
      <t xml:space="preserve"> (i.e., from the numeric portion </t>
    </r>
    <r>
      <rPr>
        <sz val="10"/>
        <color theme="1"/>
        <rFont val="Arial Unicode MS"/>
      </rPr>
      <t>67890</t>
    </r>
    <r>
      <rPr>
        <sz val="11"/>
        <color theme="1"/>
        <rFont val="Calibri"/>
        <family val="2"/>
        <scheme val="minor"/>
      </rPr>
      <t xml:space="preserve"> and excluding the trailing hyphen), use:</t>
    </r>
  </si>
  <si>
    <r>
      <t>Result:</t>
    </r>
    <r>
      <rPr>
        <sz val="11"/>
        <color theme="1"/>
        <rFont val="Calibri"/>
        <family val="2"/>
        <scheme val="minor"/>
      </rPr>
      <t xml:space="preserve"> </t>
    </r>
    <r>
      <rPr>
        <sz val="10"/>
        <color theme="1"/>
        <rFont val="Arial Unicode MS"/>
      </rPr>
      <t>"67890"</t>
    </r>
  </si>
  <si>
    <r>
      <t>Q.7</t>
    </r>
    <r>
      <rPr>
        <sz val="14"/>
        <color theme="1"/>
        <rFont val="Calibri"/>
        <family val="2"/>
        <scheme val="minor"/>
      </rPr>
      <t xml:space="preserve"> Understand how to combine text using CONCAT, TEXTJOIN, and the &amp; operator.
Use CONCAT to combine "Hello" and "World" with a space in between.
Combine "Apple", "Banana", and "Cherry" into a single string separated by commas using TEXTJOIN.
Use the &amp; operator to create the string "2025: Excel Functions" by combining "2025", ": ", and "Excel 
Functions".
Create a comma-separated list from the range A1:A5 using TEXTJOIN
Combine first names in column A with last names in column B to create full names in column C.</t>
    </r>
  </si>
  <si>
    <t xml:space="preserve"> 1. Use CONCAT to combine “Hello” and “World” with a space</t>
  </si>
  <si>
    <r>
      <t>Result:</t>
    </r>
    <r>
      <rPr>
        <sz val="11"/>
        <color theme="1"/>
        <rFont val="Calibri"/>
        <family val="2"/>
        <scheme val="minor"/>
      </rPr>
      <t xml:space="preserve"> </t>
    </r>
    <r>
      <rPr>
        <sz val="10"/>
        <color theme="1"/>
        <rFont val="Arial Unicode MS"/>
      </rPr>
      <t>Hello World</t>
    </r>
  </si>
  <si>
    <t>2. Combine “Apple”, “Banana”, and “Cherry” into one string separated by commas using TEXTJOIN</t>
  </si>
  <si>
    <r>
      <t xml:space="preserve"> </t>
    </r>
    <r>
      <rPr>
        <sz val="10"/>
        <color theme="1"/>
        <rFont val="Arial Unicode MS"/>
      </rPr>
      <t>", "</t>
    </r>
    <r>
      <rPr>
        <sz val="11"/>
        <color theme="1"/>
        <rFont val="Calibri"/>
        <family val="2"/>
        <scheme val="minor"/>
      </rPr>
      <t xml:space="preserve"> is the delimiter (comma + space).</t>
    </r>
  </si>
  <si>
    <r>
      <t>Result:</t>
    </r>
    <r>
      <rPr>
        <sz val="11"/>
        <color theme="1"/>
        <rFont val="Calibri"/>
        <family val="2"/>
        <scheme val="minor"/>
      </rPr>
      <t xml:space="preserve"> </t>
    </r>
    <r>
      <rPr>
        <sz val="10"/>
        <color theme="1"/>
        <rFont val="Arial Unicode MS"/>
      </rPr>
      <t>Apple, Banana, Cherry</t>
    </r>
    <r>
      <rPr>
        <b/>
        <sz val="11"/>
        <color theme="1"/>
        <rFont val="Calibri"/>
        <family val="2"/>
        <scheme val="minor"/>
      </rPr>
      <t>.</t>
    </r>
  </si>
  <si>
    <t>3. Use the &amp; operator to create the string “2025: Excel Functions”</t>
  </si>
  <si>
    <r>
      <t>Result:</t>
    </r>
    <r>
      <rPr>
        <sz val="11"/>
        <color theme="1"/>
        <rFont val="Calibri"/>
        <family val="2"/>
        <scheme val="minor"/>
      </rPr>
      <t xml:space="preserve"> </t>
    </r>
    <r>
      <rPr>
        <sz val="10"/>
        <color theme="1"/>
        <rFont val="Arial Unicode MS"/>
      </rPr>
      <t>2025: Excel Functions</t>
    </r>
  </si>
  <si>
    <t>4. Create a comma-separated list from the range A1:A5 using TEXTJOIN</t>
  </si>
  <si>
    <t>Example output (if A1:A5 are values):</t>
  </si>
  <si>
    <t>Apple, Banana, Cherry, Date, Fig</t>
  </si>
  <si>
    <r>
      <t xml:space="preserve"> Uses </t>
    </r>
    <r>
      <rPr>
        <b/>
        <sz val="11"/>
        <color theme="1"/>
        <rFont val="Calibri"/>
        <family val="2"/>
        <scheme val="minor"/>
      </rPr>
      <t>TEXTJOIN</t>
    </r>
    <r>
      <rPr>
        <sz val="11"/>
        <color theme="1"/>
        <rFont val="Calibri"/>
        <family val="2"/>
        <scheme val="minor"/>
      </rPr>
      <t xml:space="preserve"> with a comma and space as the delimiter.</t>
    </r>
  </si>
  <si>
    <t>5. Combine first and last names from columns A and B into full names in column C</t>
  </si>
  <si>
    <r>
      <t xml:space="preserve">In </t>
    </r>
    <r>
      <rPr>
        <b/>
        <sz val="11"/>
        <color theme="1"/>
        <rFont val="Calibri"/>
        <family val="2"/>
        <scheme val="minor"/>
      </rPr>
      <t>C1</t>
    </r>
    <r>
      <rPr>
        <sz val="11"/>
        <color theme="1"/>
        <rFont val="Calibri"/>
        <family val="2"/>
        <scheme val="minor"/>
      </rPr>
      <t xml:space="preserve"> enter:</t>
    </r>
  </si>
  <si>
    <r>
      <t xml:space="preserve">Then </t>
    </r>
    <r>
      <rPr>
        <b/>
        <sz val="11"/>
        <color theme="1"/>
        <rFont val="Calibri"/>
        <family val="2"/>
        <scheme val="minor"/>
      </rPr>
      <t>drag the formula down</t>
    </r>
    <r>
      <rPr>
        <sz val="11"/>
        <color theme="1"/>
        <rFont val="Calibri"/>
        <family val="2"/>
        <scheme val="minor"/>
      </rPr>
      <t xml:space="preserve"> for all rows.</t>
    </r>
  </si>
  <si>
    <r>
      <t xml:space="preserve">In </t>
    </r>
    <r>
      <rPr>
        <b/>
        <sz val="11"/>
        <color theme="1"/>
        <rFont val="Calibri"/>
        <family val="2"/>
        <scheme val="minor"/>
      </rPr>
      <t>C1</t>
    </r>
    <r>
      <rPr>
        <sz val="11"/>
        <color theme="1"/>
        <rFont val="Calibri"/>
        <family val="2"/>
        <scheme val="minor"/>
      </rPr>
      <t>:</t>
    </r>
  </si>
  <si>
    <t xml:space="preserve"> Alternative using the &amp; operator</t>
  </si>
  <si>
    <t xml:space="preserve"> Or using TEXTJOIN (modern Excel)</t>
  </si>
  <si>
    <t xml:space="preserve"> Combines with a space and ignores blanks if any.</t>
  </si>
  <si>
    <t>Q.8  Understanding TODAY() and NOW() a. What is the difference between TODAY() and NOW() in Excel? Provide an example of when you would use_x000B_ each function. b. If cell A1 contains the date 2025-06-10, write a formula using TODAY() to determine how many days are left until that date c. Write an Excel formula using NOW() to display the current date and time in the format MM/DD/YYYY HH:MM AM/PM. ́ d. If a cell contains =TODAY(), what will happen when the worksheet is reopened the next day? Explain e. You want to store a static date (today’s date) in a cell without it changing every day. What keyboard shortcut should you use?</t>
  </si>
  <si>
    <t>a. What’s the difference between TODAY() and NOW()?</t>
  </si>
  <si>
    <r>
      <t>TODAY()</t>
    </r>
    <r>
      <rPr>
        <sz val="11"/>
        <color theme="1"/>
        <rFont val="Calibri"/>
        <family val="2"/>
        <scheme val="minor"/>
      </rPr>
      <t xml:space="preserve"> — returns only the </t>
    </r>
    <r>
      <rPr>
        <b/>
        <sz val="11"/>
        <color theme="1"/>
        <rFont val="Calibri"/>
        <family val="2"/>
        <scheme val="minor"/>
      </rPr>
      <t>current date</t>
    </r>
    <r>
      <rPr>
        <sz val="11"/>
        <color theme="1"/>
        <rFont val="Calibri"/>
        <family val="2"/>
        <scheme val="minor"/>
      </rPr>
      <t xml:space="preserve"> (no time). Use it when you need the date to update automatically each day, for example in age calculations, deadlines, or date-based reports.</t>
    </r>
  </si>
  <si>
    <r>
      <t>NOW()</t>
    </r>
    <r>
      <rPr>
        <sz val="11"/>
        <color theme="1"/>
        <rFont val="Calibri"/>
        <family val="2"/>
        <scheme val="minor"/>
      </rPr>
      <t xml:space="preserve"> — returns both the </t>
    </r>
    <r>
      <rPr>
        <b/>
        <sz val="11"/>
        <color theme="1"/>
        <rFont val="Calibri"/>
        <family val="2"/>
        <scheme val="minor"/>
      </rPr>
      <t>current date and time</t>
    </r>
    <r>
      <rPr>
        <sz val="11"/>
        <color theme="1"/>
        <rFont val="Calibri"/>
        <family val="2"/>
        <scheme val="minor"/>
      </rPr>
      <t>. Use it when you need a timestamp that updates every time the sheet recalculates, such as logging when something happened.</t>
    </r>
  </si>
  <si>
    <r>
      <t>Example:</t>
    </r>
    <r>
      <rPr>
        <sz val="11"/>
        <color theme="1"/>
        <rFont val="Calibri"/>
        <family val="2"/>
        <scheme val="minor"/>
      </rPr>
      <t xml:space="preserve"> </t>
    </r>
    <r>
      <rPr>
        <sz val="10"/>
        <color theme="1"/>
        <rFont val="Arial Unicode MS"/>
      </rPr>
      <t>=NOW()</t>
    </r>
    <r>
      <rPr>
        <sz val="11"/>
        <color theme="1"/>
        <rFont val="Calibri"/>
        <family val="2"/>
        <scheme val="minor"/>
      </rPr>
      <t xml:space="preserve"> might show </t>
    </r>
    <r>
      <rPr>
        <sz val="10"/>
        <color theme="1"/>
        <rFont val="Arial Unicode MS"/>
      </rPr>
      <t>12/17/2025 10:45 AM</t>
    </r>
    <r>
      <rPr>
        <sz val="11"/>
        <color theme="1"/>
        <rFont val="Calibri"/>
        <family val="2"/>
        <scheme val="minor"/>
      </rPr>
      <t>.</t>
    </r>
  </si>
  <si>
    <t>Example:=Today() might show 17/12/2025</t>
  </si>
  <si>
    <r>
      <t xml:space="preserve">b. If A1 contains the date </t>
    </r>
    <r>
      <rPr>
        <b/>
        <sz val="10"/>
        <color theme="1"/>
        <rFont val="Arial Unicode MS"/>
      </rPr>
      <t>2025-06-10</t>
    </r>
    <r>
      <rPr>
        <b/>
        <sz val="18"/>
        <color theme="1"/>
        <rFont val="Calibri"/>
        <family val="2"/>
        <scheme val="minor"/>
      </rPr>
      <t>, how many days are left until that date?</t>
    </r>
  </si>
  <si>
    <r>
      <t xml:space="preserve">You can subtract </t>
    </r>
    <r>
      <rPr>
        <b/>
        <sz val="11"/>
        <color theme="1"/>
        <rFont val="Calibri"/>
        <family val="2"/>
        <scheme val="minor"/>
      </rPr>
      <t>TODAY()</t>
    </r>
    <r>
      <rPr>
        <sz val="11"/>
        <color theme="1"/>
        <rFont val="Calibri"/>
        <family val="2"/>
        <scheme val="minor"/>
      </rPr>
      <t xml:space="preserve"> from the future date:</t>
    </r>
  </si>
  <si>
    <r>
      <t xml:space="preserve">If today were </t>
    </r>
    <r>
      <rPr>
        <sz val="10"/>
        <color theme="1"/>
        <rFont val="Arial Unicode MS"/>
      </rPr>
      <t>2025-12-17</t>
    </r>
    <r>
      <rPr>
        <sz val="11"/>
        <color theme="1"/>
        <rFont val="Calibri"/>
        <family val="2"/>
        <scheme val="minor"/>
      </rPr>
      <t>, this would return a negative number (since the date has passed). If you want a positive count before that date (e.g., earlier in the year), this formula works the same way but reflects the difference.</t>
    </r>
  </si>
  <si>
    <r>
      <t>C</t>
    </r>
    <r>
      <rPr>
        <b/>
        <sz val="11"/>
        <color theme="1"/>
        <rFont val="Calibri"/>
        <family val="2"/>
        <scheme val="minor"/>
      </rPr>
      <t xml:space="preserve">.  Formula to display current date and time as MM/DD/YYYY HH:MM AM/PM
Use NOW() and then format the result:
</t>
    </r>
    <r>
      <rPr>
        <b/>
        <sz val="11"/>
        <color rgb="FFFF0000"/>
        <rFont val="Calibri"/>
        <family val="2"/>
        <scheme val="minor"/>
      </rPr>
      <t>=NOW()</t>
    </r>
    <r>
      <rPr>
        <b/>
        <sz val="11"/>
        <color theme="1"/>
        <rFont val="Calibri"/>
        <family val="2"/>
        <scheme val="minor"/>
      </rPr>
      <t xml:space="preserve">
Then apply a custom format:
</t>
    </r>
    <r>
      <rPr>
        <b/>
        <sz val="11"/>
        <color rgb="FFFF0000"/>
        <rFont val="Calibri"/>
        <family val="2"/>
        <scheme val="minor"/>
      </rPr>
      <t>MM/DD/YYYY HH:MM AM/PM</t>
    </r>
    <r>
      <rPr>
        <b/>
        <sz val="11"/>
        <color theme="1"/>
        <rFont val="Calibri"/>
        <family val="2"/>
        <scheme val="minor"/>
      </rPr>
      <t xml:space="preserve">
</t>
    </r>
    <r>
      <rPr>
        <sz val="11"/>
        <color theme="1"/>
        <rFont val="Calibri"/>
        <family val="2"/>
        <scheme val="minor"/>
      </rPr>
      <t xml:space="preserve">
In Excel:
Right-click the cell with =NOW().
Choose Format Cells.
Go to Custom and enter the format above.
This displays the current date and time like:
12/17/2025 10:45 AM (updated whenever Excel recalculates).</t>
    </r>
  </si>
  <si>
    <t>d. What happens to =TODAY() when you reopen the worksheet tomorrow?</t>
  </si>
  <si>
    <t>If a cell contains:</t>
  </si>
  <si>
    <r>
      <t xml:space="preserve">it </t>
    </r>
    <r>
      <rPr>
        <b/>
        <sz val="11"/>
        <color theme="1"/>
        <rFont val="Calibri"/>
        <family val="2"/>
        <scheme val="minor"/>
      </rPr>
      <t>updates automatically</t>
    </r>
    <r>
      <rPr>
        <sz val="11"/>
        <color theme="1"/>
        <rFont val="Calibri"/>
        <family val="2"/>
        <scheme val="minor"/>
      </rPr>
      <t xml:space="preserve"> to the new current date when you open or recalculate the workbook.</t>
    </r>
  </si>
  <si>
    <t xml:space="preserve">So tomorrow, the cell will show tomorrow’s date (not the old one), because TODAY() is dynamic and recalculates. </t>
  </si>
  <si>
    <r>
      <t xml:space="preserve">e. How to insert a </t>
    </r>
    <r>
      <rPr>
        <b/>
        <i/>
        <sz val="18"/>
        <color theme="1"/>
        <rFont val="Calibri"/>
        <family val="2"/>
        <scheme val="minor"/>
      </rPr>
      <t>static</t>
    </r>
    <r>
      <rPr>
        <b/>
        <sz val="18"/>
        <color theme="1"/>
        <rFont val="Calibri"/>
        <family val="2"/>
        <scheme val="minor"/>
      </rPr>
      <t xml:space="preserve"> date that doesn’t change each day?</t>
    </r>
  </si>
  <si>
    <r>
      <t xml:space="preserve">To store a date that </t>
    </r>
    <r>
      <rPr>
        <b/>
        <sz val="11"/>
        <color theme="1"/>
        <rFont val="Calibri"/>
        <family val="2"/>
        <scheme val="minor"/>
      </rPr>
      <t>won’t change</t>
    </r>
    <r>
      <rPr>
        <sz val="11"/>
        <color theme="1"/>
        <rFont val="Calibri"/>
        <family val="2"/>
        <scheme val="minor"/>
      </rPr>
      <t xml:space="preserve">, use a keyboard shortcut to enter today’s date as a </t>
    </r>
    <r>
      <rPr>
        <b/>
        <sz val="11"/>
        <color theme="1"/>
        <rFont val="Calibri"/>
        <family val="2"/>
        <scheme val="minor"/>
      </rPr>
      <t>value</t>
    </r>
    <r>
      <rPr>
        <sz val="11"/>
        <color theme="1"/>
        <rFont val="Calibri"/>
        <family val="2"/>
        <scheme val="minor"/>
      </rPr>
      <t xml:space="preserve"> (not a formula). In Excel:</t>
    </r>
  </si>
  <si>
    <t>Press:</t>
  </si>
  <si>
    <t>Ctrl + ;</t>
  </si>
  <si>
    <t>Current time fixed.</t>
  </si>
  <si>
    <t xml:space="preserve"> Using CONCAT</t>
  </si>
  <si>
    <r>
      <t xml:space="preserve">                                                  ##  </t>
    </r>
    <r>
      <rPr>
        <sz val="20"/>
        <color theme="3" tint="-0.249977111117893"/>
        <rFont val="Calibri"/>
        <family val="2"/>
        <scheme val="minor"/>
      </rPr>
      <t xml:space="preserve">  </t>
    </r>
    <r>
      <rPr>
        <sz val="20"/>
        <color rgb="FFFF0000"/>
        <rFont val="Calibri"/>
        <family val="2"/>
        <scheme val="minor"/>
      </rPr>
      <t>Data Cleaning &amp; EssentialFunctions   ##</t>
    </r>
    <r>
      <rPr>
        <sz val="20"/>
        <color theme="1"/>
        <rFont val="Calibri"/>
        <family val="2"/>
        <scheme val="minor"/>
      </rPr>
      <t xml:space="preserve">                                                                                                                                                                                                                                                                                                                 1.</t>
    </r>
    <r>
      <rPr>
        <sz val="20"/>
        <color rgb="FF0070C0"/>
        <rFont val="Calibri"/>
        <family val="2"/>
        <scheme val="minor"/>
      </rPr>
      <t>What is data cleaning, and why is it important in data analysis? What are the potential consequences of analyzing unclean or messy data? Explain the common steps involved in cleaning and organizing 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</si>
</sst>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8" formatCode="_([$$-409]* #,##0.00_);_([$$-409]* \(#,##0.00\);_([$$-409]* &quot;-&quot;??_);_(@_)"/>
  </numFmts>
  <fonts count="32">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20"/>
      <color theme="1"/>
      <name val="Calibri"/>
      <family val="2"/>
      <scheme val="minor"/>
    </font>
    <font>
      <b/>
      <sz val="18"/>
      <color theme="1"/>
      <name val="Calibri"/>
      <family val="2"/>
      <scheme val="minor"/>
    </font>
    <font>
      <b/>
      <sz val="13.5"/>
      <color theme="1"/>
      <name val="Calibri"/>
      <family val="2"/>
      <scheme val="minor"/>
    </font>
    <font>
      <i/>
      <sz val="11"/>
      <color theme="1"/>
      <name val="Calibri"/>
      <family val="2"/>
      <scheme val="minor"/>
    </font>
    <font>
      <b/>
      <sz val="14"/>
      <color theme="1"/>
      <name val="Calibri"/>
      <family val="2"/>
      <scheme val="minor"/>
    </font>
    <font>
      <sz val="14"/>
      <color theme="1"/>
      <name val="Calibri"/>
      <family val="2"/>
      <scheme val="minor"/>
    </font>
    <font>
      <i/>
      <sz val="14"/>
      <color theme="1"/>
      <name val="Calibri"/>
      <family val="2"/>
      <scheme val="minor"/>
    </font>
    <font>
      <sz val="20"/>
      <color rgb="FF0070C0"/>
      <name val="Calibri"/>
      <family val="2"/>
      <scheme val="minor"/>
    </font>
    <font>
      <sz val="16"/>
      <color theme="1"/>
      <name val="Calibri"/>
      <family val="2"/>
      <scheme val="minor"/>
    </font>
    <font>
      <sz val="11"/>
      <name val="Calibri"/>
      <family val="2"/>
      <scheme val="minor"/>
    </font>
    <font>
      <sz val="11"/>
      <color rgb="FF00B050"/>
      <name val="Calibri"/>
      <family val="2"/>
      <scheme val="minor"/>
    </font>
    <font>
      <sz val="11"/>
      <color theme="7" tint="-0.249977111117893"/>
      <name val="Calibri"/>
      <family val="2"/>
      <scheme val="minor"/>
    </font>
    <font>
      <b/>
      <sz val="11"/>
      <color theme="5"/>
      <name val="Calibri"/>
      <family val="2"/>
      <scheme val="minor"/>
    </font>
    <font>
      <b/>
      <sz val="11"/>
      <color rgb="FFFF0000"/>
      <name val="Calibri"/>
      <family val="2"/>
      <scheme val="minor"/>
    </font>
    <font>
      <sz val="11"/>
      <color rgb="FF00B0F0"/>
      <name val="Calibri"/>
      <family val="2"/>
      <scheme val="minor"/>
    </font>
    <font>
      <b/>
      <sz val="11"/>
      <color theme="4" tint="-0.499984740745262"/>
      <name val="Calibri"/>
      <family val="2"/>
      <scheme val="minor"/>
    </font>
    <font>
      <sz val="11"/>
      <color theme="4" tint="-0.499984740745262"/>
      <name val="Calibri"/>
      <family val="2"/>
      <scheme val="minor"/>
    </font>
    <font>
      <sz val="11"/>
      <color theme="8" tint="-0.249977111117893"/>
      <name val="Calibri"/>
      <family val="2"/>
      <scheme val="minor"/>
    </font>
    <font>
      <sz val="11"/>
      <color rgb="FFFFFF00"/>
      <name val="Calibri"/>
      <family val="2"/>
      <scheme val="minor"/>
    </font>
    <font>
      <sz val="14"/>
      <color rgb="FF00B050"/>
      <name val="Calibri"/>
      <family val="2"/>
      <scheme val="minor"/>
    </font>
    <font>
      <sz val="10"/>
      <color theme="1"/>
      <name val="Arial Unicode MS"/>
    </font>
    <font>
      <sz val="16"/>
      <color rgb="FFFF0000"/>
      <name val="Calibri"/>
      <family val="2"/>
      <scheme val="minor"/>
    </font>
    <font>
      <u/>
      <sz val="11"/>
      <color theme="10"/>
      <name val="Calibri"/>
      <family val="2"/>
      <scheme val="minor"/>
    </font>
    <font>
      <sz val="11"/>
      <color theme="1"/>
      <name val="Arial Unicode MS"/>
    </font>
    <font>
      <b/>
      <sz val="10"/>
      <color theme="1"/>
      <name val="Arial Unicode MS"/>
    </font>
    <font>
      <b/>
      <i/>
      <sz val="18"/>
      <color theme="1"/>
      <name val="Calibri"/>
      <family val="2"/>
      <scheme val="minor"/>
    </font>
    <font>
      <sz val="20"/>
      <color theme="3" tint="-0.249977111117893"/>
      <name val="Calibri"/>
      <family val="2"/>
      <scheme val="minor"/>
    </font>
    <font>
      <sz val="20"/>
      <color rgb="FFFF0000"/>
      <name val="Calibri"/>
      <family val="2"/>
      <scheme val="minor"/>
    </font>
  </fonts>
  <fills count="27">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1" tint="0.499984740745262"/>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7" tint="-0.249977111117893"/>
        <bgColor indexed="64"/>
      </patternFill>
    </fill>
    <fill>
      <patternFill patternType="solid">
        <fgColor theme="8" tint="0.79998168889431442"/>
        <bgColor indexed="64"/>
      </patternFill>
    </fill>
    <fill>
      <patternFill patternType="solid">
        <fgColor theme="4"/>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rgb="FF00B0F0"/>
        <bgColor indexed="64"/>
      </patternFill>
    </fill>
    <fill>
      <patternFill patternType="solid">
        <fgColor theme="4" tint="0.59999389629810485"/>
        <bgColor indexed="64"/>
      </patternFill>
    </fill>
    <fill>
      <patternFill patternType="solid">
        <fgColor theme="5"/>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2" tint="-0.499984740745262"/>
        <bgColor indexed="64"/>
      </patternFill>
    </fill>
    <fill>
      <patternFill patternType="solid">
        <fgColor theme="3" tint="0.39997558519241921"/>
        <bgColor indexed="64"/>
      </patternFill>
    </fill>
  </fills>
  <borders count="7">
    <border>
      <left/>
      <right/>
      <top/>
      <bottom/>
      <diagonal/>
    </border>
    <border>
      <left/>
      <right/>
      <top/>
      <bottom style="thin">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44" fontId="1" fillId="0" borderId="0" applyFont="0" applyFill="0" applyBorder="0" applyAlignment="0" applyProtection="0"/>
    <xf numFmtId="0" fontId="26" fillId="0" borderId="0" applyNumberFormat="0" applyFill="0" applyBorder="0" applyAlignment="0" applyProtection="0"/>
  </cellStyleXfs>
  <cellXfs count="157">
    <xf numFmtId="0" fontId="0" fillId="0" borderId="0" xfId="0"/>
    <xf numFmtId="0" fontId="0" fillId="0" borderId="0" xfId="0" applyAlignment="1">
      <alignment wrapText="1"/>
    </xf>
    <xf numFmtId="0" fontId="4" fillId="0" borderId="0" xfId="0" applyFont="1" applyAlignment="1">
      <alignment wrapText="1"/>
    </xf>
    <xf numFmtId="0" fontId="6" fillId="0" borderId="0" xfId="0" applyFont="1" applyAlignment="1">
      <alignment vertical="center"/>
    </xf>
    <xf numFmtId="0" fontId="5" fillId="2" borderId="0" xfId="0" applyFont="1" applyFill="1" applyAlignment="1">
      <alignment vertical="center"/>
    </xf>
    <xf numFmtId="0" fontId="0" fillId="2" borderId="0" xfId="0" applyFill="1"/>
    <xf numFmtId="0" fontId="3" fillId="2" borderId="0" xfId="0" applyFont="1" applyFill="1"/>
    <xf numFmtId="0" fontId="6" fillId="2" borderId="0" xfId="0" applyFont="1" applyFill="1" applyAlignment="1">
      <alignment vertical="center"/>
    </xf>
    <xf numFmtId="0" fontId="0" fillId="2" borderId="0" xfId="0" applyFill="1" applyAlignment="1">
      <alignment horizontal="left" vertical="center" indent="1"/>
    </xf>
    <xf numFmtId="0" fontId="5" fillId="3" borderId="0" xfId="0" applyFont="1" applyFill="1" applyAlignment="1">
      <alignment vertical="center"/>
    </xf>
    <xf numFmtId="0" fontId="0" fillId="3" borderId="0" xfId="0" applyFill="1"/>
    <xf numFmtId="0" fontId="8" fillId="3" borderId="0" xfId="0" applyFont="1" applyFill="1" applyAlignment="1">
      <alignment vertical="center" wrapText="1"/>
    </xf>
    <xf numFmtId="0" fontId="9" fillId="3" borderId="0" xfId="0" applyFont="1" applyFill="1" applyAlignment="1">
      <alignment wrapText="1"/>
    </xf>
    <xf numFmtId="0" fontId="8" fillId="3" borderId="0" xfId="0" applyFont="1" applyFill="1" applyAlignment="1">
      <alignment wrapText="1"/>
    </xf>
    <xf numFmtId="0" fontId="9" fillId="3" borderId="0" xfId="0" applyFont="1" applyFill="1" applyAlignment="1">
      <alignment horizontal="left" vertical="center" wrapText="1"/>
    </xf>
    <xf numFmtId="0" fontId="8" fillId="3" borderId="0" xfId="0" applyFont="1" applyFill="1" applyAlignment="1">
      <alignment horizontal="left" vertical="center" wrapText="1"/>
    </xf>
    <xf numFmtId="0" fontId="12" fillId="5" borderId="0" xfId="0" applyFont="1" applyFill="1"/>
    <xf numFmtId="0" fontId="0" fillId="0" borderId="0" xfId="0" applyBorder="1"/>
    <xf numFmtId="0" fontId="0" fillId="0" borderId="2" xfId="0" applyBorder="1"/>
    <xf numFmtId="0" fontId="0" fillId="0" borderId="3" xfId="0" applyBorder="1"/>
    <xf numFmtId="0" fontId="3" fillId="0" borderId="0" xfId="0" applyFont="1" applyAlignment="1">
      <alignment horizontal="center" vertical="center" wrapText="1"/>
    </xf>
    <xf numFmtId="0" fontId="0" fillId="0" borderId="0" xfId="0" applyAlignment="1">
      <alignment vertical="center" wrapText="1"/>
    </xf>
    <xf numFmtId="0" fontId="0" fillId="5" borderId="0" xfId="0" applyFill="1"/>
    <xf numFmtId="0" fontId="18" fillId="4" borderId="0" xfId="0" applyFont="1" applyFill="1" applyBorder="1"/>
    <xf numFmtId="0" fontId="0" fillId="0" borderId="0" xfId="0" applyBorder="1" applyAlignment="1">
      <alignment horizontal="left" vertical="center" indent="1"/>
    </xf>
    <xf numFmtId="0" fontId="3" fillId="0" borderId="0" xfId="0" applyFont="1" applyBorder="1" applyAlignment="1">
      <alignment horizontal="center" vertical="center" wrapText="1"/>
    </xf>
    <xf numFmtId="0" fontId="0" fillId="0" borderId="0" xfId="0" applyBorder="1" applyAlignment="1">
      <alignment horizontal="left" vertical="center" indent="2"/>
    </xf>
    <xf numFmtId="0" fontId="21" fillId="0" borderId="0" xfId="0" applyFont="1" applyBorder="1" applyAlignment="1">
      <alignment horizontal="left" vertical="center" indent="2"/>
    </xf>
    <xf numFmtId="0" fontId="0" fillId="0" borderId="0" xfId="0" applyBorder="1" applyAlignment="1">
      <alignment vertical="center" wrapText="1"/>
    </xf>
    <xf numFmtId="0" fontId="13" fillId="6" borderId="0" xfId="0" applyFont="1" applyFill="1" applyAlignment="1">
      <alignment wrapText="1"/>
    </xf>
    <xf numFmtId="0" fontId="14" fillId="0" borderId="0" xfId="0" applyFont="1"/>
    <xf numFmtId="0" fontId="23" fillId="3" borderId="0" xfId="0" applyFont="1" applyFill="1" applyAlignment="1">
      <alignment wrapText="1"/>
    </xf>
    <xf numFmtId="0" fontId="5" fillId="5" borderId="0" xfId="0" applyFont="1" applyFill="1" applyAlignment="1">
      <alignment vertical="center"/>
    </xf>
    <xf numFmtId="0" fontId="6" fillId="5" borderId="0" xfId="0" applyFont="1" applyFill="1" applyAlignment="1">
      <alignment vertical="center"/>
    </xf>
    <xf numFmtId="0" fontId="0" fillId="5" borderId="0" xfId="0" applyFill="1" applyAlignment="1">
      <alignment horizontal="left" vertical="center" indent="1"/>
    </xf>
    <xf numFmtId="0" fontId="0" fillId="5" borderId="0" xfId="0" applyFill="1" applyAlignment="1">
      <alignment vertical="center"/>
    </xf>
    <xf numFmtId="0" fontId="24" fillId="5" borderId="0" xfId="0" applyFont="1" applyFill="1" applyAlignment="1">
      <alignment vertical="center"/>
    </xf>
    <xf numFmtId="0" fontId="3" fillId="5" borderId="0" xfId="0" applyFont="1" applyFill="1"/>
    <xf numFmtId="0" fontId="5" fillId="7" borderId="0" xfId="0" applyFont="1" applyFill="1" applyAlignment="1">
      <alignment vertical="center"/>
    </xf>
    <xf numFmtId="0" fontId="0" fillId="7" borderId="0" xfId="0" applyFill="1"/>
    <xf numFmtId="0" fontId="6" fillId="7" borderId="0" xfId="0" applyFont="1" applyFill="1" applyAlignment="1">
      <alignment vertical="center"/>
    </xf>
    <xf numFmtId="0" fontId="0" fillId="7" borderId="0" xfId="0" applyFill="1" applyAlignment="1">
      <alignment horizontal="left" vertical="center" indent="1"/>
    </xf>
    <xf numFmtId="0" fontId="0" fillId="7" borderId="0" xfId="0" applyFill="1" applyAlignment="1">
      <alignment vertical="center"/>
    </xf>
    <xf numFmtId="0" fontId="24" fillId="7" borderId="0" xfId="0" applyFont="1" applyFill="1" applyAlignment="1">
      <alignment vertical="center"/>
    </xf>
    <xf numFmtId="0" fontId="3" fillId="7" borderId="0" xfId="0" applyFont="1" applyFill="1"/>
    <xf numFmtId="0" fontId="5" fillId="8" borderId="0" xfId="0" applyFont="1" applyFill="1" applyAlignment="1">
      <alignment vertical="center"/>
    </xf>
    <xf numFmtId="0" fontId="0" fillId="8" borderId="0" xfId="0" applyFill="1"/>
    <xf numFmtId="0" fontId="6" fillId="8" borderId="0" xfId="0" applyFont="1" applyFill="1" applyAlignment="1">
      <alignment vertical="center"/>
    </xf>
    <xf numFmtId="0" fontId="0" fillId="8" borderId="0" xfId="0" applyFill="1" applyAlignment="1">
      <alignment horizontal="left" vertical="center" indent="1"/>
    </xf>
    <xf numFmtId="0" fontId="0" fillId="8" borderId="0" xfId="0" applyFill="1" applyAlignment="1">
      <alignment vertical="center"/>
    </xf>
    <xf numFmtId="0" fontId="24" fillId="8" borderId="0" xfId="0" applyFont="1" applyFill="1" applyAlignment="1">
      <alignment vertical="center"/>
    </xf>
    <xf numFmtId="0" fontId="3" fillId="8" borderId="0" xfId="0" applyFont="1" applyFill="1"/>
    <xf numFmtId="0" fontId="0" fillId="2" borderId="0" xfId="0" applyFill="1" applyAlignment="1">
      <alignment vertical="center"/>
    </xf>
    <xf numFmtId="0" fontId="24" fillId="2" borderId="0" xfId="0" applyFont="1" applyFill="1" applyAlignment="1">
      <alignment vertical="center"/>
    </xf>
    <xf numFmtId="0" fontId="5" fillId="9" borderId="0" xfId="0" applyFont="1" applyFill="1" applyAlignment="1">
      <alignment vertical="center"/>
    </xf>
    <xf numFmtId="0" fontId="0" fillId="9" borderId="0" xfId="0" applyFill="1"/>
    <xf numFmtId="0" fontId="6" fillId="9" borderId="0" xfId="0" applyFont="1" applyFill="1" applyAlignment="1">
      <alignment vertical="center"/>
    </xf>
    <xf numFmtId="0" fontId="0" fillId="9" borderId="0" xfId="0" applyFill="1" applyAlignment="1">
      <alignment horizontal="left" vertical="center" indent="1"/>
    </xf>
    <xf numFmtId="0" fontId="0" fillId="9" borderId="0" xfId="0" applyFill="1" applyAlignment="1">
      <alignment vertical="center"/>
    </xf>
    <xf numFmtId="0" fontId="24" fillId="9" borderId="0" xfId="0" applyFont="1" applyFill="1" applyAlignment="1">
      <alignment vertical="center"/>
    </xf>
    <xf numFmtId="0" fontId="3" fillId="9" borderId="0" xfId="0" applyFont="1" applyFill="1"/>
    <xf numFmtId="0" fontId="3" fillId="9" borderId="0" xfId="0" applyFont="1" applyFill="1" applyAlignment="1">
      <alignment horizontal="center" vertical="center" wrapText="1"/>
    </xf>
    <xf numFmtId="0" fontId="0" fillId="9" borderId="0" xfId="0" applyFill="1" applyAlignment="1">
      <alignment vertical="center" wrapText="1"/>
    </xf>
    <xf numFmtId="0" fontId="24" fillId="9" borderId="0" xfId="0" applyFont="1" applyFill="1" applyAlignment="1">
      <alignment horizontal="left" vertical="center" indent="1"/>
    </xf>
    <xf numFmtId="14" fontId="24" fillId="9" borderId="0" xfId="0" applyNumberFormat="1" applyFont="1" applyFill="1" applyAlignment="1">
      <alignment vertical="center"/>
    </xf>
    <xf numFmtId="0" fontId="0" fillId="9" borderId="0" xfId="0" applyFill="1" applyAlignment="1">
      <alignment horizontal="left" vertical="center" indent="2"/>
    </xf>
    <xf numFmtId="0" fontId="2" fillId="10" borderId="0" xfId="0" applyFont="1" applyFill="1"/>
    <xf numFmtId="0" fontId="5" fillId="11" borderId="0" xfId="0" applyFont="1" applyFill="1" applyAlignment="1">
      <alignment vertical="center"/>
    </xf>
    <xf numFmtId="0" fontId="0" fillId="12" borderId="0" xfId="0" applyFill="1"/>
    <xf numFmtId="14" fontId="24" fillId="6" borderId="0" xfId="0" applyNumberFormat="1" applyFont="1" applyFill="1" applyAlignment="1">
      <alignment vertical="center"/>
    </xf>
    <xf numFmtId="0" fontId="0" fillId="11" borderId="0" xfId="0" applyFill="1"/>
    <xf numFmtId="168" fontId="25" fillId="3" borderId="4" xfId="1" applyNumberFormat="1" applyFont="1" applyFill="1" applyBorder="1"/>
    <xf numFmtId="0" fontId="12" fillId="11" borderId="5" xfId="0" applyFont="1" applyFill="1" applyBorder="1"/>
    <xf numFmtId="0" fontId="12" fillId="11" borderId="6" xfId="0" applyFont="1" applyFill="1" applyBorder="1"/>
    <xf numFmtId="0" fontId="12" fillId="14" borderId="0" xfId="0" applyFont="1" applyFill="1" applyAlignment="1">
      <alignment wrapText="1"/>
    </xf>
    <xf numFmtId="0" fontId="12" fillId="10" borderId="0" xfId="0" applyFont="1" applyFill="1"/>
    <xf numFmtId="0" fontId="0" fillId="15" borderId="0" xfId="0" applyFill="1"/>
    <xf numFmtId="0" fontId="2" fillId="16" borderId="0" xfId="0" applyFont="1" applyFill="1"/>
    <xf numFmtId="0" fontId="0" fillId="17" borderId="0" xfId="0" applyFill="1"/>
    <xf numFmtId="0" fontId="0" fillId="13" borderId="0" xfId="0" applyFill="1"/>
    <xf numFmtId="0" fontId="9" fillId="11" borderId="0" xfId="0" applyFont="1" applyFill="1" applyAlignment="1">
      <alignment wrapText="1"/>
    </xf>
    <xf numFmtId="0" fontId="0" fillId="17" borderId="0" xfId="0" applyFill="1" applyAlignment="1">
      <alignment wrapText="1"/>
    </xf>
    <xf numFmtId="0" fontId="6" fillId="18" borderId="0" xfId="0" applyFont="1" applyFill="1" applyAlignment="1">
      <alignment vertical="center"/>
    </xf>
    <xf numFmtId="0" fontId="0" fillId="18" borderId="0" xfId="0" applyFill="1"/>
    <xf numFmtId="0" fontId="0" fillId="18" borderId="0" xfId="0" applyFill="1" applyAlignment="1">
      <alignment vertical="center"/>
    </xf>
    <xf numFmtId="0" fontId="3" fillId="18" borderId="0" xfId="0" applyFont="1" applyFill="1"/>
    <xf numFmtId="0" fontId="24" fillId="11" borderId="0" xfId="0" applyFont="1" applyFill="1" applyAlignment="1">
      <alignment vertical="center"/>
    </xf>
    <xf numFmtId="0" fontId="24" fillId="19" borderId="0" xfId="0" applyFont="1" applyFill="1" applyAlignment="1">
      <alignment vertical="center"/>
    </xf>
    <xf numFmtId="0" fontId="3" fillId="8" borderId="0" xfId="0" applyFont="1" applyFill="1" applyAlignment="1">
      <alignment horizontal="left" vertical="center" indent="1"/>
    </xf>
    <xf numFmtId="0" fontId="24" fillId="20" borderId="0" xfId="0" applyFont="1" applyFill="1" applyAlignment="1">
      <alignment vertical="center"/>
    </xf>
    <xf numFmtId="0" fontId="6" fillId="19" borderId="0" xfId="0" applyFont="1" applyFill="1" applyAlignment="1">
      <alignment vertical="center"/>
    </xf>
    <xf numFmtId="0" fontId="0" fillId="19" borderId="0" xfId="0" applyFill="1"/>
    <xf numFmtId="0" fontId="0" fillId="19" borderId="0" xfId="0" applyFill="1" applyAlignment="1">
      <alignment vertical="center"/>
    </xf>
    <xf numFmtId="0" fontId="3" fillId="19" borderId="0" xfId="0" applyFont="1" applyFill="1"/>
    <xf numFmtId="0" fontId="24" fillId="21" borderId="0" xfId="0" applyFont="1" applyFill="1" applyAlignment="1">
      <alignment vertical="center"/>
    </xf>
    <xf numFmtId="0" fontId="6" fillId="11" borderId="0" xfId="0" applyFont="1" applyFill="1" applyAlignment="1">
      <alignment vertical="center"/>
    </xf>
    <xf numFmtId="0" fontId="0" fillId="11" borderId="0" xfId="0" applyFill="1" applyAlignment="1">
      <alignment vertical="center"/>
    </xf>
    <xf numFmtId="0" fontId="3" fillId="11" borderId="0" xfId="0" applyFont="1" applyFill="1"/>
    <xf numFmtId="0" fontId="0" fillId="11" borderId="0" xfId="0" applyFill="1" applyAlignment="1">
      <alignment horizontal="left" vertical="center" indent="1"/>
    </xf>
    <xf numFmtId="0" fontId="3" fillId="11" borderId="0" xfId="0" applyFont="1" applyFill="1" applyAlignment="1">
      <alignment horizontal="left" vertical="center" indent="1"/>
    </xf>
    <xf numFmtId="0" fontId="0" fillId="21" borderId="0" xfId="0" applyFill="1" applyAlignment="1">
      <alignment wrapText="1"/>
    </xf>
    <xf numFmtId="0" fontId="0" fillId="10" borderId="0" xfId="0" applyFill="1"/>
    <xf numFmtId="0" fontId="26" fillId="11" borderId="0" xfId="2" applyFill="1"/>
    <xf numFmtId="0" fontId="24" fillId="22" borderId="0" xfId="0" applyFont="1" applyFill="1" applyAlignment="1">
      <alignment vertical="center"/>
    </xf>
    <xf numFmtId="0" fontId="3" fillId="13" borderId="0" xfId="0" applyFont="1" applyFill="1"/>
    <xf numFmtId="0" fontId="5" fillId="18" borderId="0" xfId="0" applyFont="1" applyFill="1" applyAlignment="1">
      <alignment vertical="center"/>
    </xf>
    <xf numFmtId="0" fontId="26" fillId="18" borderId="0" xfId="2" applyFill="1"/>
    <xf numFmtId="0" fontId="5" fillId="6" borderId="0" xfId="0" applyFont="1" applyFill="1" applyAlignment="1">
      <alignment vertical="center"/>
    </xf>
    <xf numFmtId="0" fontId="0" fillId="6" borderId="0" xfId="0" applyFill="1" applyAlignment="1">
      <alignment vertical="center"/>
    </xf>
    <xf numFmtId="0" fontId="0" fillId="6" borderId="0" xfId="0" applyFill="1"/>
    <xf numFmtId="0" fontId="26" fillId="6" borderId="0" xfId="2" applyFill="1"/>
    <xf numFmtId="0" fontId="3" fillId="6" borderId="0" xfId="0" applyFont="1" applyFill="1"/>
    <xf numFmtId="0" fontId="3" fillId="15" borderId="0" xfId="0" applyFont="1" applyFill="1" applyAlignment="1">
      <alignment wrapText="1"/>
    </xf>
    <xf numFmtId="0" fontId="3" fillId="15" borderId="0" xfId="0" applyFont="1" applyFill="1" applyAlignment="1">
      <alignment vertical="center" wrapText="1"/>
    </xf>
    <xf numFmtId="0" fontId="0" fillId="15" borderId="0" xfId="0" applyFont="1" applyFill="1" applyAlignment="1">
      <alignment vertical="center" wrapText="1"/>
    </xf>
    <xf numFmtId="0" fontId="0" fillId="15" borderId="0" xfId="0" applyFont="1" applyFill="1" applyAlignment="1">
      <alignment wrapText="1"/>
    </xf>
    <xf numFmtId="0" fontId="26" fillId="15" borderId="0" xfId="2" applyFont="1" applyFill="1" applyAlignment="1">
      <alignment wrapText="1"/>
    </xf>
    <xf numFmtId="0" fontId="27" fillId="15" borderId="0" xfId="0" applyFont="1" applyFill="1" applyAlignment="1">
      <alignment wrapText="1"/>
    </xf>
    <xf numFmtId="0" fontId="27" fillId="11" borderId="0" xfId="0" applyFont="1" applyFill="1" applyAlignment="1">
      <alignment vertical="center" wrapText="1"/>
    </xf>
    <xf numFmtId="0" fontId="5" fillId="23" borderId="0" xfId="0" applyFont="1" applyFill="1" applyAlignment="1">
      <alignment vertical="center" wrapText="1"/>
    </xf>
    <xf numFmtId="0" fontId="0" fillId="23" borderId="0" xfId="0" applyFill="1" applyAlignment="1">
      <alignment wrapText="1"/>
    </xf>
    <xf numFmtId="0" fontId="6" fillId="23" borderId="0" xfId="0" applyFont="1" applyFill="1" applyAlignment="1">
      <alignment vertical="center" wrapText="1"/>
    </xf>
    <xf numFmtId="0" fontId="0" fillId="23" borderId="0" xfId="0" applyFill="1" applyAlignment="1">
      <alignment vertical="center" wrapText="1"/>
    </xf>
    <xf numFmtId="0" fontId="26" fillId="23" borderId="0" xfId="2" applyFill="1" applyAlignment="1">
      <alignment wrapText="1"/>
    </xf>
    <xf numFmtId="0" fontId="24" fillId="5" borderId="0" xfId="0" applyFont="1" applyFill="1" applyAlignment="1">
      <alignment vertical="center" wrapText="1"/>
    </xf>
    <xf numFmtId="0" fontId="24" fillId="10" borderId="0" xfId="0" applyFont="1" applyFill="1" applyAlignment="1">
      <alignment vertical="center" wrapText="1"/>
    </xf>
    <xf numFmtId="0" fontId="9" fillId="24" borderId="0" xfId="0" applyFont="1" applyFill="1" applyAlignment="1">
      <alignment wrapText="1"/>
    </xf>
    <xf numFmtId="0" fontId="9" fillId="5" borderId="0" xfId="0" applyFont="1" applyFill="1"/>
    <xf numFmtId="0" fontId="26" fillId="0" borderId="0" xfId="2" applyAlignment="1">
      <alignment horizontal="left" vertical="center" indent="1"/>
    </xf>
    <xf numFmtId="0" fontId="26" fillId="11" borderId="0" xfId="2" applyFill="1" applyAlignment="1">
      <alignment horizontal="left" vertical="center" indent="1"/>
    </xf>
    <xf numFmtId="0" fontId="3" fillId="11" borderId="0" xfId="0" applyFont="1" applyFill="1" applyAlignment="1">
      <alignment horizontal="left" vertical="center" wrapText="1" indent="1"/>
    </xf>
    <xf numFmtId="0" fontId="0" fillId="3" borderId="0" xfId="0" applyFill="1" applyAlignment="1">
      <alignment vertical="center"/>
    </xf>
    <xf numFmtId="0" fontId="0" fillId="3" borderId="0" xfId="0" applyFill="1" applyAlignment="1">
      <alignment wrapText="1"/>
    </xf>
    <xf numFmtId="0" fontId="0" fillId="11" borderId="0" xfId="0" applyFill="1" applyAlignment="1">
      <alignment wrapText="1"/>
    </xf>
    <xf numFmtId="0" fontId="5" fillId="21" borderId="0" xfId="0" applyFont="1" applyFill="1" applyAlignment="1">
      <alignment vertical="center"/>
    </xf>
    <xf numFmtId="0" fontId="0" fillId="21" borderId="0" xfId="0" applyFill="1"/>
    <xf numFmtId="0" fontId="0" fillId="21" borderId="0" xfId="0" applyFill="1" applyAlignment="1">
      <alignment vertical="center"/>
    </xf>
    <xf numFmtId="0" fontId="26" fillId="21" borderId="0" xfId="2" applyFill="1"/>
    <xf numFmtId="0" fontId="22" fillId="25" borderId="0" xfId="0" applyFont="1" applyFill="1"/>
    <xf numFmtId="0" fontId="0" fillId="11" borderId="0" xfId="0" applyFill="1" applyBorder="1"/>
    <xf numFmtId="0" fontId="14" fillId="11" borderId="0" xfId="0" applyFont="1" applyFill="1" applyBorder="1"/>
    <xf numFmtId="0" fontId="0" fillId="26" borderId="0" xfId="0" applyFill="1" applyBorder="1"/>
    <xf numFmtId="0" fontId="0" fillId="2" borderId="0" xfId="0" applyFill="1" applyBorder="1"/>
    <xf numFmtId="0" fontId="21" fillId="2" borderId="0" xfId="0" applyFont="1" applyFill="1" applyBorder="1" applyAlignment="1">
      <alignment horizontal="left" vertical="center" indent="2"/>
    </xf>
    <xf numFmtId="0" fontId="3" fillId="11" borderId="0" xfId="0" applyFont="1" applyFill="1" applyBorder="1" applyAlignment="1">
      <alignment horizontal="center" vertical="center" wrapText="1"/>
    </xf>
    <xf numFmtId="0" fontId="15" fillId="11" borderId="0" xfId="0" applyFont="1" applyFill="1" applyBorder="1" applyAlignment="1">
      <alignment vertical="center" wrapText="1"/>
    </xf>
    <xf numFmtId="0" fontId="6" fillId="11" borderId="0" xfId="0" applyFont="1" applyFill="1" applyBorder="1" applyAlignment="1">
      <alignment vertical="center"/>
    </xf>
    <xf numFmtId="0" fontId="0" fillId="11" borderId="0" xfId="0" applyFill="1" applyBorder="1" applyAlignment="1">
      <alignment horizontal="left" vertical="center" indent="1"/>
    </xf>
    <xf numFmtId="0" fontId="3" fillId="11" borderId="0" xfId="0" applyFont="1" applyFill="1" applyBorder="1" applyAlignment="1">
      <alignment horizontal="left" vertical="center" indent="1"/>
    </xf>
    <xf numFmtId="0" fontId="5" fillId="9" borderId="0" xfId="0" applyFont="1" applyFill="1" applyBorder="1" applyAlignment="1">
      <alignment vertical="center"/>
    </xf>
    <xf numFmtId="0" fontId="0" fillId="9" borderId="0" xfId="0" applyFill="1" applyBorder="1"/>
    <xf numFmtId="0" fontId="6" fillId="9" borderId="0" xfId="0" applyFont="1" applyFill="1" applyBorder="1" applyAlignment="1">
      <alignment vertical="center"/>
    </xf>
    <xf numFmtId="0" fontId="0" fillId="9" borderId="0" xfId="0" applyFill="1" applyBorder="1" applyAlignment="1">
      <alignment horizontal="left" vertical="center" indent="1"/>
    </xf>
    <xf numFmtId="0" fontId="19" fillId="9" borderId="0" xfId="0" applyFont="1" applyFill="1" applyBorder="1" applyAlignment="1">
      <alignment horizontal="left" vertical="center" indent="1"/>
    </xf>
    <xf numFmtId="0" fontId="3" fillId="9" borderId="0" xfId="0" applyFont="1" applyFill="1" applyBorder="1" applyAlignment="1">
      <alignment horizontal="left" vertical="center" indent="1"/>
    </xf>
    <xf numFmtId="0" fontId="6" fillId="9" borderId="1" xfId="0" applyFont="1" applyFill="1" applyBorder="1" applyAlignment="1">
      <alignment vertical="center"/>
    </xf>
    <xf numFmtId="0" fontId="0" fillId="20" borderId="0" xfId="0" applyFill="1" applyBorder="1"/>
  </cellXfs>
  <cellStyles count="3">
    <cellStyle name="Currency" xfId="1" builtinId="4"/>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hyperlink" Target="https://www.thebricks.com/resources/how-to-use-the-today-function-in-excel-a-step-by-step-guide?utm_source=chatgpt.com" TargetMode="External"/><Relationship Id="rId1" Type="http://schemas.openxmlformats.org/officeDocument/2006/relationships/hyperlink" Target="https://excel-tutorial.com/now-today/?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DFBE0-C4FA-46D7-A840-B4A7B82D60DE}">
  <dimension ref="A1:A94"/>
  <sheetViews>
    <sheetView tabSelected="1" topLeftCell="A97" workbookViewId="0">
      <selection activeCell="B7" sqref="B7"/>
    </sheetView>
  </sheetViews>
  <sheetFormatPr defaultRowHeight="15"/>
  <cols>
    <col min="1" max="1" width="178.85546875" customWidth="1"/>
  </cols>
  <sheetData>
    <row r="1" spans="1:1" ht="131.25">
      <c r="A1" s="2" t="s">
        <v>229</v>
      </c>
    </row>
    <row r="2" spans="1:1" ht="18.75">
      <c r="A2" s="11" t="s">
        <v>0</v>
      </c>
    </row>
    <row r="3" spans="1:1" ht="18.75">
      <c r="A3" s="31" t="s">
        <v>78</v>
      </c>
    </row>
    <row r="4" spans="1:1" ht="37.5">
      <c r="A4" s="13" t="s">
        <v>17</v>
      </c>
    </row>
    <row r="5" spans="1:1" ht="18.75">
      <c r="A5" s="12"/>
    </row>
    <row r="6" spans="1:1" ht="18.75">
      <c r="A6" s="11" t="s">
        <v>1</v>
      </c>
    </row>
    <row r="7" spans="1:1" ht="18.75">
      <c r="A7" s="14"/>
    </row>
    <row r="8" spans="1:1" ht="18.75">
      <c r="A8" s="15" t="s">
        <v>18</v>
      </c>
    </row>
    <row r="9" spans="1:1" ht="18.75">
      <c r="A9" s="14"/>
    </row>
    <row r="10" spans="1:1" ht="18.75">
      <c r="A10" s="15" t="s">
        <v>19</v>
      </c>
    </row>
    <row r="11" spans="1:1" ht="18.75">
      <c r="A11" s="14"/>
    </row>
    <row r="12" spans="1:1" ht="18.75">
      <c r="A12" s="15" t="s">
        <v>20</v>
      </c>
    </row>
    <row r="13" spans="1:1" ht="18.75">
      <c r="A13" s="14"/>
    </row>
    <row r="14" spans="1:1" ht="18.75">
      <c r="A14" s="15" t="s">
        <v>21</v>
      </c>
    </row>
    <row r="15" spans="1:1" ht="18.75">
      <c r="A15" s="14"/>
    </row>
    <row r="16" spans="1:1" ht="18.75">
      <c r="A16" s="15" t="s">
        <v>22</v>
      </c>
    </row>
    <row r="17" spans="1:1" ht="18.75">
      <c r="A17" s="14"/>
    </row>
    <row r="18" spans="1:1" ht="18.75">
      <c r="A18" s="14" t="s">
        <v>23</v>
      </c>
    </row>
    <row r="19" spans="1:1" ht="18.75">
      <c r="A19" s="12"/>
    </row>
    <row r="20" spans="1:1" ht="18.75">
      <c r="A20" s="12"/>
    </row>
    <row r="21" spans="1:1" ht="18.75">
      <c r="A21" s="12"/>
    </row>
    <row r="22" spans="1:1" ht="18.75">
      <c r="A22" s="11" t="s">
        <v>2</v>
      </c>
    </row>
    <row r="23" spans="1:1" ht="18.75">
      <c r="A23" s="12"/>
    </row>
    <row r="24" spans="1:1" ht="18.75">
      <c r="A24" s="12" t="s">
        <v>3</v>
      </c>
    </row>
    <row r="25" spans="1:1" ht="18.75">
      <c r="A25" s="14"/>
    </row>
    <row r="26" spans="1:1" ht="18.75">
      <c r="A26" s="15" t="s">
        <v>24</v>
      </c>
    </row>
    <row r="27" spans="1:1" ht="18.75">
      <c r="A27" s="14"/>
    </row>
    <row r="28" spans="1:1" ht="18.75">
      <c r="A28" s="15" t="s">
        <v>25</v>
      </c>
    </row>
    <row r="29" spans="1:1" ht="18.75">
      <c r="A29" s="14"/>
    </row>
    <row r="30" spans="1:1" ht="18.75">
      <c r="A30" s="15" t="s">
        <v>26</v>
      </c>
    </row>
    <row r="31" spans="1:1" ht="18.75">
      <c r="A31" s="14"/>
    </row>
    <row r="32" spans="1:1" ht="18.75">
      <c r="A32" s="15" t="s">
        <v>27</v>
      </c>
    </row>
    <row r="33" spans="1:1" ht="18.75">
      <c r="A33" s="14"/>
    </row>
    <row r="34" spans="1:1" ht="18.75">
      <c r="A34" s="15" t="s">
        <v>28</v>
      </c>
    </row>
    <row r="35" spans="1:1" ht="18.75">
      <c r="A35" s="14"/>
    </row>
    <row r="36" spans="1:1" ht="18.75">
      <c r="A36" s="15" t="s">
        <v>29</v>
      </c>
    </row>
    <row r="37" spans="1:1" ht="18.75">
      <c r="A37" s="12"/>
    </row>
    <row r="38" spans="1:1" ht="18.75">
      <c r="A38" s="12"/>
    </row>
    <row r="39" spans="1:1" ht="18.75">
      <c r="A39" s="12"/>
    </row>
    <row r="40" spans="1:1" ht="18.75">
      <c r="A40" s="11" t="s">
        <v>4</v>
      </c>
    </row>
    <row r="41" spans="1:1" ht="18.75">
      <c r="A41" s="12"/>
    </row>
    <row r="42" spans="1:1" ht="18.75">
      <c r="A42" s="12" t="s">
        <v>5</v>
      </c>
    </row>
    <row r="43" spans="1:1" ht="18.75">
      <c r="A43" s="12"/>
    </row>
    <row r="44" spans="1:1" ht="18.75">
      <c r="A44" s="11" t="s">
        <v>6</v>
      </c>
    </row>
    <row r="45" spans="1:1" ht="18.75">
      <c r="A45" s="14"/>
    </row>
    <row r="46" spans="1:1" ht="18.75">
      <c r="A46" s="14" t="s">
        <v>7</v>
      </c>
    </row>
    <row r="47" spans="1:1" ht="18.75">
      <c r="A47" s="14"/>
    </row>
    <row r="48" spans="1:1" ht="18.75">
      <c r="A48" s="14" t="s">
        <v>8</v>
      </c>
    </row>
    <row r="49" spans="1:1" ht="18.75">
      <c r="A49" s="12"/>
    </row>
    <row r="50" spans="1:1" ht="18.75">
      <c r="A50" s="11" t="s">
        <v>9</v>
      </c>
    </row>
    <row r="51" spans="1:1" ht="18.75">
      <c r="A51" s="14"/>
    </row>
    <row r="52" spans="1:1" ht="18.75">
      <c r="A52" s="14" t="s">
        <v>10</v>
      </c>
    </row>
    <row r="53" spans="1:1" ht="18.75">
      <c r="A53" s="14"/>
    </row>
    <row r="54" spans="1:1" ht="18.75">
      <c r="A54" s="14" t="s">
        <v>44</v>
      </c>
    </row>
    <row r="55" spans="1:1" ht="18.75">
      <c r="A55" s="14"/>
    </row>
    <row r="56" spans="1:1" ht="18.75">
      <c r="A56" s="14" t="s">
        <v>43</v>
      </c>
    </row>
    <row r="57" spans="1:1" ht="18.75">
      <c r="A57" s="12"/>
    </row>
    <row r="58" spans="1:1" ht="18.75">
      <c r="A58" s="11" t="s">
        <v>11</v>
      </c>
    </row>
    <row r="59" spans="1:1" ht="18.75">
      <c r="A59" s="14"/>
    </row>
    <row r="60" spans="1:1" ht="18.75">
      <c r="A60" s="14" t="s">
        <v>42</v>
      </c>
    </row>
    <row r="61" spans="1:1" ht="18.75">
      <c r="A61" s="14"/>
    </row>
    <row r="62" spans="1:1" ht="18.75">
      <c r="A62" s="14" t="s">
        <v>41</v>
      </c>
    </row>
    <row r="63" spans="1:1" ht="18.75">
      <c r="A63" s="12"/>
    </row>
    <row r="64" spans="1:1" ht="18.75">
      <c r="A64" s="11" t="s">
        <v>12</v>
      </c>
    </row>
    <row r="65" spans="1:1" ht="18.75">
      <c r="A65" s="14"/>
    </row>
    <row r="66" spans="1:1" ht="18.75">
      <c r="A66" s="14" t="s">
        <v>40</v>
      </c>
    </row>
    <row r="67" spans="1:1" ht="18.75">
      <c r="A67" s="14"/>
    </row>
    <row r="68" spans="1:1" ht="18.75">
      <c r="A68" s="14" t="s">
        <v>39</v>
      </c>
    </row>
    <row r="69" spans="1:1" ht="18.75">
      <c r="A69" s="14"/>
    </row>
    <row r="70" spans="1:1" ht="18.75">
      <c r="A70" s="14" t="s">
        <v>38</v>
      </c>
    </row>
    <row r="71" spans="1:1" ht="18.75">
      <c r="A71" s="12"/>
    </row>
    <row r="72" spans="1:1" ht="18.75">
      <c r="A72" s="11" t="s">
        <v>13</v>
      </c>
    </row>
    <row r="73" spans="1:1" ht="18.75">
      <c r="A73" s="14"/>
    </row>
    <row r="74" spans="1:1" ht="18.75">
      <c r="A74" s="14" t="s">
        <v>37</v>
      </c>
    </row>
    <row r="75" spans="1:1" ht="18.75">
      <c r="A75" s="14"/>
    </row>
    <row r="76" spans="1:1" ht="18.75">
      <c r="A76" s="14" t="s">
        <v>36</v>
      </c>
    </row>
    <row r="77" spans="1:1" ht="18.75">
      <c r="A77" s="12"/>
    </row>
    <row r="78" spans="1:1" ht="18.75">
      <c r="A78" s="11" t="s">
        <v>14</v>
      </c>
    </row>
    <row r="79" spans="1:1" ht="18.75">
      <c r="A79" s="14"/>
    </row>
    <row r="80" spans="1:1" ht="18.75">
      <c r="A80" s="14" t="s">
        <v>35</v>
      </c>
    </row>
    <row r="81" spans="1:1" ht="18.75">
      <c r="A81" s="14"/>
    </row>
    <row r="82" spans="1:1" ht="18.75">
      <c r="A82" s="14" t="s">
        <v>34</v>
      </c>
    </row>
    <row r="83" spans="1:1" ht="18.75">
      <c r="A83" s="12"/>
    </row>
    <row r="84" spans="1:1" ht="18.75">
      <c r="A84" s="11" t="s">
        <v>15</v>
      </c>
    </row>
    <row r="85" spans="1:1" ht="18.75">
      <c r="A85" s="14"/>
    </row>
    <row r="86" spans="1:1" ht="18.75">
      <c r="A86" s="14" t="s">
        <v>30</v>
      </c>
    </row>
    <row r="87" spans="1:1" ht="18.75">
      <c r="A87" s="14"/>
    </row>
    <row r="88" spans="1:1" ht="18.75">
      <c r="A88" s="14" t="s">
        <v>31</v>
      </c>
    </row>
    <row r="89" spans="1:1" ht="18.75">
      <c r="A89" s="12"/>
    </row>
    <row r="90" spans="1:1" ht="18.75">
      <c r="A90" s="11" t="s">
        <v>16</v>
      </c>
    </row>
    <row r="91" spans="1:1" ht="18.75">
      <c r="A91" s="14"/>
    </row>
    <row r="92" spans="1:1" ht="18.75">
      <c r="A92" s="14" t="s">
        <v>32</v>
      </c>
    </row>
    <row r="93" spans="1:1" ht="18.75">
      <c r="A93" s="14"/>
    </row>
    <row r="94" spans="1:1" ht="18.75">
      <c r="A94" s="14" t="s">
        <v>33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77DD5-833E-43D6-A05F-27BC9802A6E9}">
  <dimension ref="A1:Z137"/>
  <sheetViews>
    <sheetView topLeftCell="A41" workbookViewId="0">
      <selection activeCell="A43" sqref="A43"/>
    </sheetView>
  </sheetViews>
  <sheetFormatPr defaultRowHeight="15"/>
  <cols>
    <col min="1" max="1" width="188" customWidth="1"/>
  </cols>
  <sheetData>
    <row r="1" spans="1:26" ht="21" customHeight="1">
      <c r="A1" s="16" t="s">
        <v>45</v>
      </c>
    </row>
    <row r="2" spans="1:26" ht="15.75" customHeight="1" thickBot="1">
      <c r="A2" s="30" t="s">
        <v>78</v>
      </c>
    </row>
    <row r="3" spans="1:26" s="18" customFormat="1" ht="15" customHeight="1">
      <c r="A3" s="23" t="s">
        <v>46</v>
      </c>
    </row>
    <row r="4" spans="1:26" s="17" customFormat="1" ht="15" customHeight="1">
      <c r="A4" s="23" t="s">
        <v>47</v>
      </c>
    </row>
    <row r="5" spans="1:26" s="17" customFormat="1" ht="15" customHeight="1">
      <c r="A5" s="23" t="s">
        <v>48</v>
      </c>
    </row>
    <row r="6" spans="1:26" s="19" customFormat="1" ht="15.75" customHeight="1" thickBot="1">
      <c r="A6" s="23" t="s">
        <v>49</v>
      </c>
    </row>
    <row r="7" spans="1:26">
      <c r="A7" s="17"/>
    </row>
    <row r="8" spans="1:26" ht="23.25">
      <c r="A8" s="149" t="s">
        <v>50</v>
      </c>
      <c r="B8" s="17"/>
      <c r="C8" s="17"/>
      <c r="D8" s="17"/>
      <c r="E8" s="17"/>
      <c r="F8" s="17"/>
      <c r="G8" s="17"/>
      <c r="H8" s="17"/>
      <c r="I8" s="17"/>
      <c r="J8" s="17"/>
      <c r="K8" s="17"/>
      <c r="L8" s="17"/>
      <c r="M8" s="17"/>
      <c r="N8" s="17"/>
      <c r="O8" s="17"/>
      <c r="P8" s="17"/>
      <c r="Q8" s="17"/>
      <c r="R8" s="17"/>
      <c r="S8" s="17"/>
      <c r="T8" s="17"/>
      <c r="U8" s="17"/>
      <c r="V8" s="17"/>
      <c r="W8" s="17"/>
      <c r="X8" s="17"/>
      <c r="Y8" s="17"/>
      <c r="Z8" s="17"/>
    </row>
    <row r="9" spans="1:26">
      <c r="A9" s="150"/>
      <c r="B9" s="17"/>
      <c r="C9" s="17"/>
      <c r="D9" s="17"/>
      <c r="E9" s="17"/>
      <c r="F9" s="17"/>
      <c r="G9" s="17"/>
      <c r="H9" s="17"/>
      <c r="I9" s="17"/>
      <c r="J9" s="17"/>
      <c r="K9" s="17"/>
      <c r="L9" s="17"/>
      <c r="M9" s="17"/>
      <c r="N9" s="17"/>
      <c r="O9" s="17"/>
      <c r="P9" s="17"/>
      <c r="Q9" s="17"/>
      <c r="R9" s="17"/>
      <c r="S9" s="17"/>
      <c r="T9" s="17"/>
      <c r="U9" s="17"/>
      <c r="V9" s="17"/>
      <c r="W9" s="17"/>
      <c r="X9" s="17"/>
      <c r="Y9" s="17"/>
      <c r="Z9" s="17"/>
    </row>
    <row r="10" spans="1:26" ht="18">
      <c r="A10" s="151" t="s">
        <v>51</v>
      </c>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spans="1:26">
      <c r="A11" s="152"/>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spans="1:26">
      <c r="A12" s="153" t="s">
        <v>75</v>
      </c>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spans="1:26">
      <c r="A13" s="152"/>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spans="1:26">
      <c r="A14" s="154" t="s">
        <v>52</v>
      </c>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spans="1:26" ht="18">
      <c r="A15" s="155" t="s">
        <v>53</v>
      </c>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spans="1:26">
      <c r="A16" s="150"/>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spans="1:26">
      <c r="A17" s="150" t="s">
        <v>54</v>
      </c>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spans="1:26">
      <c r="A18" s="152"/>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spans="1:26">
      <c r="A19" s="154" t="s">
        <v>55</v>
      </c>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spans="1:26">
      <c r="A20" s="152"/>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spans="1:26">
      <c r="A21" s="154" t="s">
        <v>56</v>
      </c>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spans="1:26">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spans="1:26">
      <c r="A23" s="150" t="s">
        <v>57</v>
      </c>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c r="A24" s="144"/>
      <c r="B24" s="25"/>
      <c r="C24" s="25"/>
      <c r="D24" s="17"/>
      <c r="E24" s="17"/>
      <c r="F24" s="17"/>
      <c r="G24" s="17"/>
      <c r="H24" s="17"/>
      <c r="I24" s="17"/>
      <c r="J24" s="17"/>
      <c r="K24" s="17"/>
      <c r="L24" s="17"/>
      <c r="M24" s="17"/>
      <c r="N24" s="17"/>
      <c r="O24" s="17"/>
      <c r="P24" s="17"/>
      <c r="Q24" s="17"/>
      <c r="R24" s="17"/>
      <c r="S24" s="17"/>
      <c r="T24" s="17"/>
      <c r="U24" s="17"/>
      <c r="V24" s="17"/>
      <c r="W24" s="17"/>
      <c r="X24" s="17"/>
      <c r="Y24" s="17"/>
      <c r="Z24" s="17"/>
    </row>
    <row r="25" spans="1:26">
      <c r="A25" s="145" t="s">
        <v>58</v>
      </c>
      <c r="B25" s="28"/>
      <c r="C25" s="28"/>
      <c r="D25" s="17"/>
      <c r="E25" s="17"/>
      <c r="F25" s="17"/>
      <c r="G25" s="17"/>
      <c r="H25" s="17"/>
      <c r="I25" s="17"/>
      <c r="J25" s="17"/>
      <c r="K25" s="17"/>
      <c r="L25" s="17"/>
      <c r="M25" s="17"/>
      <c r="N25" s="17"/>
      <c r="O25" s="17"/>
      <c r="P25" s="17"/>
      <c r="Q25" s="17"/>
      <c r="R25" s="17"/>
      <c r="S25" s="17"/>
      <c r="T25" s="17"/>
      <c r="U25" s="17"/>
      <c r="V25" s="17"/>
      <c r="W25" s="17"/>
      <c r="X25" s="17"/>
      <c r="Y25" s="17"/>
      <c r="Z25" s="17"/>
    </row>
    <row r="26" spans="1:26">
      <c r="A26" s="145" t="s">
        <v>59</v>
      </c>
      <c r="B26" s="28"/>
      <c r="C26" s="28"/>
      <c r="D26" s="17"/>
      <c r="E26" s="17"/>
      <c r="F26" s="17"/>
      <c r="G26" s="17"/>
      <c r="H26" s="17"/>
      <c r="I26" s="17"/>
      <c r="J26" s="17"/>
      <c r="K26" s="17"/>
      <c r="L26" s="17"/>
      <c r="M26" s="17"/>
      <c r="N26" s="17"/>
      <c r="O26" s="17"/>
      <c r="P26" s="17"/>
      <c r="Q26" s="17"/>
      <c r="R26" s="17"/>
      <c r="S26" s="17"/>
      <c r="T26" s="17"/>
      <c r="U26" s="17"/>
      <c r="V26" s="17"/>
      <c r="W26" s="17"/>
      <c r="X26" s="17"/>
      <c r="Y26" s="17"/>
      <c r="Z26" s="17"/>
    </row>
    <row r="27" spans="1:26">
      <c r="A27" s="145" t="s">
        <v>60</v>
      </c>
      <c r="B27" s="28"/>
      <c r="C27" s="28"/>
      <c r="D27" s="17"/>
      <c r="E27" s="17"/>
      <c r="F27" s="17"/>
      <c r="G27" s="17"/>
      <c r="H27" s="17"/>
      <c r="I27" s="17"/>
      <c r="J27" s="17"/>
      <c r="K27" s="17"/>
      <c r="L27" s="17"/>
      <c r="M27" s="17"/>
      <c r="N27" s="17"/>
      <c r="O27" s="17"/>
      <c r="P27" s="17"/>
      <c r="Q27" s="17"/>
      <c r="R27" s="17"/>
      <c r="S27" s="17"/>
      <c r="T27" s="17"/>
      <c r="U27" s="17"/>
      <c r="V27" s="17"/>
      <c r="W27" s="17"/>
      <c r="X27" s="17"/>
      <c r="Y27" s="17"/>
      <c r="Z27" s="17"/>
    </row>
    <row r="28" spans="1:26">
      <c r="A28" s="145" t="s">
        <v>61</v>
      </c>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c r="A29" s="139"/>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8">
      <c r="A30" s="146" t="s">
        <v>62</v>
      </c>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c r="A31" s="14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c r="A32" s="148" t="s">
        <v>73</v>
      </c>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c r="A33" s="14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c r="A34" s="148" t="s">
        <v>74</v>
      </c>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c r="A35" s="24"/>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c r="A36" s="24"/>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c r="A37" s="26"/>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c r="A38" s="143" t="s">
        <v>63</v>
      </c>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c r="A39" s="2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c r="A40" s="143" t="s">
        <v>64</v>
      </c>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c r="A41" s="143" t="s">
        <v>65</v>
      </c>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c r="A43" s="156" t="s">
        <v>66</v>
      </c>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c r="A44" s="139"/>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c r="A45" s="140" t="s">
        <v>67</v>
      </c>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c r="A46" s="140" t="s">
        <v>68</v>
      </c>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c r="A47" s="140" t="s">
        <v>69</v>
      </c>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c r="A48" s="140" t="s">
        <v>70</v>
      </c>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c r="A49" s="139"/>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c r="A50" s="142" t="s">
        <v>71</v>
      </c>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c r="A52" s="141" t="s">
        <v>72</v>
      </c>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1">
      <c r="A65" s="17"/>
    </row>
    <row r="66" spans="1:1">
      <c r="A66" s="17"/>
    </row>
    <row r="67" spans="1:1">
      <c r="A67" s="17"/>
    </row>
    <row r="68" spans="1:1">
      <c r="A68" s="17"/>
    </row>
    <row r="69" spans="1:1">
      <c r="A69" s="17"/>
    </row>
    <row r="70" spans="1:1">
      <c r="A70" s="17"/>
    </row>
    <row r="71" spans="1:1">
      <c r="A71" s="17"/>
    </row>
    <row r="72" spans="1:1">
      <c r="A72" s="17"/>
    </row>
    <row r="73" spans="1:1">
      <c r="A73" s="17"/>
    </row>
    <row r="74" spans="1:1">
      <c r="A74" s="17"/>
    </row>
    <row r="75" spans="1:1">
      <c r="A75" s="17"/>
    </row>
    <row r="76" spans="1:1">
      <c r="A76" s="17"/>
    </row>
    <row r="77" spans="1:1">
      <c r="A77" s="17"/>
    </row>
    <row r="78" spans="1:1">
      <c r="A78" s="17"/>
    </row>
    <row r="79" spans="1:1">
      <c r="A79" s="17"/>
    </row>
    <row r="80" spans="1:1">
      <c r="A80" s="17"/>
    </row>
    <row r="81" spans="1:1">
      <c r="A81" s="17"/>
    </row>
    <row r="82" spans="1:1">
      <c r="A82" s="17"/>
    </row>
    <row r="83" spans="1:1">
      <c r="A83" s="17"/>
    </row>
    <row r="84" spans="1:1">
      <c r="A84" s="17"/>
    </row>
    <row r="85" spans="1:1">
      <c r="A85" s="17"/>
    </row>
    <row r="86" spans="1:1">
      <c r="A86" s="17"/>
    </row>
    <row r="87" spans="1:1">
      <c r="A87" s="17"/>
    </row>
    <row r="88" spans="1:1">
      <c r="A88" s="17"/>
    </row>
    <row r="89" spans="1:1">
      <c r="A89" s="17"/>
    </row>
    <row r="90" spans="1:1">
      <c r="A90" s="17"/>
    </row>
    <row r="91" spans="1:1">
      <c r="A91" s="17"/>
    </row>
    <row r="92" spans="1:1">
      <c r="A92" s="17"/>
    </row>
    <row r="93" spans="1:1">
      <c r="A93" s="17"/>
    </row>
    <row r="94" spans="1:1">
      <c r="A94" s="17"/>
    </row>
    <row r="95" spans="1:1">
      <c r="A95" s="17"/>
    </row>
    <row r="96" spans="1:1">
      <c r="A96" s="17"/>
    </row>
    <row r="97" spans="1:1">
      <c r="A97" s="17"/>
    </row>
    <row r="98" spans="1:1">
      <c r="A98" s="17"/>
    </row>
    <row r="99" spans="1:1">
      <c r="A99" s="17"/>
    </row>
    <row r="100" spans="1:1">
      <c r="A100" s="17"/>
    </row>
    <row r="101" spans="1:1">
      <c r="A101" s="17"/>
    </row>
    <row r="102" spans="1:1">
      <c r="A102" s="17"/>
    </row>
    <row r="103" spans="1:1">
      <c r="A103" s="17"/>
    </row>
    <row r="104" spans="1:1">
      <c r="A104" s="17"/>
    </row>
    <row r="105" spans="1:1">
      <c r="A105" s="17"/>
    </row>
    <row r="106" spans="1:1">
      <c r="A106" s="17"/>
    </row>
    <row r="107" spans="1:1">
      <c r="A107" s="17"/>
    </row>
    <row r="108" spans="1:1">
      <c r="A108" s="17"/>
    </row>
    <row r="109" spans="1:1">
      <c r="A109" s="17"/>
    </row>
    <row r="110" spans="1:1">
      <c r="A110" s="17"/>
    </row>
    <row r="111" spans="1:1">
      <c r="A111" s="17"/>
    </row>
    <row r="112" spans="1:1">
      <c r="A112" s="17"/>
    </row>
    <row r="113" spans="1:1">
      <c r="A113" s="17"/>
    </row>
    <row r="114" spans="1:1">
      <c r="A114" s="17"/>
    </row>
    <row r="115" spans="1:1">
      <c r="A115" s="17"/>
    </row>
    <row r="116" spans="1:1">
      <c r="A116" s="17"/>
    </row>
    <row r="117" spans="1:1">
      <c r="A117" s="17"/>
    </row>
    <row r="118" spans="1:1">
      <c r="A118" s="17"/>
    </row>
    <row r="119" spans="1:1">
      <c r="A119" s="17"/>
    </row>
    <row r="120" spans="1:1">
      <c r="A120" s="17"/>
    </row>
    <row r="121" spans="1:1">
      <c r="A121" s="17"/>
    </row>
    <row r="122" spans="1:1">
      <c r="A122" s="17"/>
    </row>
    <row r="123" spans="1:1">
      <c r="A123" s="17"/>
    </row>
    <row r="124" spans="1:1">
      <c r="A124" s="17"/>
    </row>
    <row r="125" spans="1:1">
      <c r="A125" s="17"/>
    </row>
    <row r="126" spans="1:1">
      <c r="A126" s="17"/>
    </row>
    <row r="127" spans="1:1">
      <c r="A127" s="17"/>
    </row>
    <row r="128" spans="1:1">
      <c r="A128" s="17"/>
    </row>
    <row r="129" spans="1:1">
      <c r="A129" s="17"/>
    </row>
    <row r="130" spans="1:1">
      <c r="A130" s="17"/>
    </row>
    <row r="131" spans="1:1">
      <c r="A131" s="17"/>
    </row>
    <row r="132" spans="1:1">
      <c r="A132" s="17"/>
    </row>
    <row r="133" spans="1:1">
      <c r="A133" s="17"/>
    </row>
    <row r="134" spans="1:1">
      <c r="A134" s="17"/>
    </row>
    <row r="135" spans="1:1">
      <c r="A135" s="17"/>
    </row>
    <row r="136" spans="1:1">
      <c r="A136" s="17"/>
    </row>
    <row r="137" spans="1:1">
      <c r="A137" s="1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18C4D-1153-4DEC-925E-72EC0D177635}">
  <dimension ref="A1:B102"/>
  <sheetViews>
    <sheetView workbookViewId="0">
      <selection activeCell="B13" sqref="B13"/>
    </sheetView>
  </sheetViews>
  <sheetFormatPr defaultRowHeight="15"/>
  <cols>
    <col min="1" max="1" width="108.85546875" customWidth="1"/>
    <col min="2" max="2" width="17.85546875" customWidth="1"/>
  </cols>
  <sheetData>
    <row r="1" spans="1:1">
      <c r="A1" s="29" t="s">
        <v>76</v>
      </c>
    </row>
    <row r="3" spans="1:1">
      <c r="A3" t="s">
        <v>77</v>
      </c>
    </row>
    <row r="4" spans="1:1" ht="23.25">
      <c r="A4" s="32" t="s">
        <v>79</v>
      </c>
    </row>
    <row r="5" spans="1:1">
      <c r="A5" s="22"/>
    </row>
    <row r="6" spans="1:1" ht="18">
      <c r="A6" s="33" t="s">
        <v>80</v>
      </c>
    </row>
    <row r="7" spans="1:1">
      <c r="A7" s="34"/>
    </row>
    <row r="8" spans="1:1">
      <c r="A8" s="34" t="s">
        <v>81</v>
      </c>
    </row>
    <row r="9" spans="1:1">
      <c r="A9" s="22"/>
    </row>
    <row r="10" spans="1:1" ht="18">
      <c r="A10" s="33" t="s">
        <v>82</v>
      </c>
    </row>
    <row r="11" spans="1:1">
      <c r="A11" s="34"/>
    </row>
    <row r="12" spans="1:1">
      <c r="A12" s="34" t="s">
        <v>83</v>
      </c>
    </row>
    <row r="13" spans="1:1">
      <c r="A13" s="34"/>
    </row>
    <row r="14" spans="1:1">
      <c r="A14" s="34" t="s">
        <v>84</v>
      </c>
    </row>
    <row r="15" spans="1:1" ht="18">
      <c r="A15" s="33" t="s">
        <v>85</v>
      </c>
    </row>
    <row r="16" spans="1:1">
      <c r="A16" s="35"/>
    </row>
    <row r="17" spans="1:1">
      <c r="A17" s="36" t="str">
        <f>TRIM("  John   Smith  ")</f>
        <v>John Smith</v>
      </c>
    </row>
    <row r="18" spans="1:1">
      <c r="A18" s="22"/>
    </row>
    <row r="19" spans="1:1">
      <c r="A19" s="37" t="s">
        <v>86</v>
      </c>
    </row>
    <row r="20" spans="1:1" ht="23.25">
      <c r="A20" s="38" t="s">
        <v>87</v>
      </c>
    </row>
    <row r="21" spans="1:1">
      <c r="A21" s="39"/>
    </row>
    <row r="22" spans="1:1" ht="18">
      <c r="A22" s="40" t="s">
        <v>88</v>
      </c>
    </row>
    <row r="23" spans="1:1">
      <c r="A23" s="41"/>
    </row>
    <row r="24" spans="1:1">
      <c r="A24" s="41" t="s">
        <v>89</v>
      </c>
    </row>
    <row r="25" spans="1:1">
      <c r="A25" s="39"/>
    </row>
    <row r="26" spans="1:1" ht="18">
      <c r="A26" s="40" t="s">
        <v>82</v>
      </c>
    </row>
    <row r="27" spans="1:1">
      <c r="A27" s="41"/>
    </row>
    <row r="28" spans="1:1">
      <c r="A28" s="41" t="s">
        <v>90</v>
      </c>
    </row>
    <row r="29" spans="1:1">
      <c r="A29" s="39"/>
    </row>
    <row r="30" spans="1:1" ht="18">
      <c r="A30" s="40" t="s">
        <v>85</v>
      </c>
    </row>
    <row r="31" spans="1:1">
      <c r="A31" s="42"/>
    </row>
    <row r="32" spans="1:1">
      <c r="A32" s="43" t="str">
        <f>LEFT("EMP_1023", 3)</f>
        <v>EMP</v>
      </c>
    </row>
    <row r="33" spans="1:1">
      <c r="A33" s="39"/>
    </row>
    <row r="34" spans="1:1">
      <c r="A34" s="44" t="s">
        <v>91</v>
      </c>
    </row>
    <row r="38" spans="1:1" ht="23.25">
      <c r="A38" s="45" t="s">
        <v>92</v>
      </c>
    </row>
    <row r="39" spans="1:1">
      <c r="A39" s="46"/>
    </row>
    <row r="40" spans="1:1" ht="18">
      <c r="A40" s="47" t="s">
        <v>93</v>
      </c>
    </row>
    <row r="41" spans="1:1">
      <c r="A41" s="48"/>
    </row>
    <row r="42" spans="1:1">
      <c r="A42" s="48" t="s">
        <v>94</v>
      </c>
    </row>
    <row r="43" spans="1:1">
      <c r="A43" s="46"/>
    </row>
    <row r="44" spans="1:1" ht="18">
      <c r="A44" s="47" t="s">
        <v>82</v>
      </c>
    </row>
    <row r="45" spans="1:1">
      <c r="A45" s="48"/>
    </row>
    <row r="46" spans="1:1">
      <c r="A46" s="48" t="s">
        <v>95</v>
      </c>
    </row>
    <row r="47" spans="1:1">
      <c r="A47" s="46"/>
    </row>
    <row r="48" spans="1:1" ht="18">
      <c r="A48" s="47" t="s">
        <v>85</v>
      </c>
    </row>
    <row r="49" spans="1:1">
      <c r="A49" s="49"/>
    </row>
    <row r="50" spans="1:1">
      <c r="A50" s="50" t="str">
        <f>RIGHT("INV2024", 4)</f>
        <v>2024</v>
      </c>
    </row>
    <row r="51" spans="1:1">
      <c r="A51" s="46"/>
    </row>
    <row r="52" spans="1:1">
      <c r="A52" s="51" t="s">
        <v>96</v>
      </c>
    </row>
    <row r="53" spans="1:1">
      <c r="A53" s="46"/>
    </row>
    <row r="54" spans="1:1">
      <c r="A54" s="46"/>
    </row>
    <row r="56" spans="1:1" ht="23.25">
      <c r="A56" s="4" t="s">
        <v>97</v>
      </c>
    </row>
    <row r="57" spans="1:1">
      <c r="A57" s="5"/>
    </row>
    <row r="58" spans="1:1" ht="18">
      <c r="A58" s="7" t="s">
        <v>98</v>
      </c>
    </row>
    <row r="59" spans="1:1">
      <c r="A59" s="8"/>
    </row>
    <row r="60" spans="1:1">
      <c r="A60" s="8" t="s">
        <v>99</v>
      </c>
    </row>
    <row r="61" spans="1:1">
      <c r="A61" s="5"/>
    </row>
    <row r="62" spans="1:1" ht="18">
      <c r="A62" s="7" t="s">
        <v>82</v>
      </c>
    </row>
    <row r="63" spans="1:1">
      <c r="A63" s="8"/>
    </row>
    <row r="64" spans="1:1">
      <c r="A64" s="8" t="s">
        <v>100</v>
      </c>
    </row>
    <row r="65" spans="1:2">
      <c r="A65" s="5"/>
    </row>
    <row r="66" spans="1:2" ht="18">
      <c r="A66" s="7" t="s">
        <v>85</v>
      </c>
    </row>
    <row r="67" spans="1:2">
      <c r="A67" s="52"/>
    </row>
    <row r="68" spans="1:2">
      <c r="A68" s="53" t="str">
        <f>MID("ORD-567-XYZ", 5, 3)</f>
        <v>567</v>
      </c>
    </row>
    <row r="69" spans="1:2">
      <c r="A69" s="5"/>
    </row>
    <row r="70" spans="1:2">
      <c r="A70" s="6" t="s">
        <v>101</v>
      </c>
    </row>
    <row r="71" spans="1:2">
      <c r="A71" s="5"/>
    </row>
    <row r="72" spans="1:2">
      <c r="A72" s="5"/>
    </row>
    <row r="74" spans="1:2" ht="23.25">
      <c r="A74" s="54" t="s">
        <v>102</v>
      </c>
      <c r="B74" s="55"/>
    </row>
    <row r="75" spans="1:2">
      <c r="A75" s="55"/>
      <c r="B75" s="55"/>
    </row>
    <row r="76" spans="1:2" ht="18">
      <c r="A76" s="56" t="s">
        <v>103</v>
      </c>
      <c r="B76" s="55"/>
    </row>
    <row r="77" spans="1:2">
      <c r="A77" s="57"/>
      <c r="B77" s="55"/>
    </row>
    <row r="78" spans="1:2">
      <c r="A78" s="57" t="s">
        <v>104</v>
      </c>
      <c r="B78" s="55"/>
    </row>
    <row r="79" spans="1:2">
      <c r="A79" s="55"/>
      <c r="B79" s="55"/>
    </row>
    <row r="80" spans="1:2" ht="18">
      <c r="A80" s="56" t="s">
        <v>82</v>
      </c>
      <c r="B80" s="55"/>
    </row>
    <row r="81" spans="1:2">
      <c r="A81" s="57"/>
      <c r="B81" s="55"/>
    </row>
    <row r="82" spans="1:2">
      <c r="A82" s="57" t="s">
        <v>105</v>
      </c>
      <c r="B82" s="55"/>
    </row>
    <row r="83" spans="1:2">
      <c r="A83" s="55"/>
      <c r="B83" s="55"/>
    </row>
    <row r="84" spans="1:2" ht="18">
      <c r="A84" s="56" t="s">
        <v>85</v>
      </c>
      <c r="B84" s="55"/>
    </row>
    <row r="85" spans="1:2">
      <c r="A85" s="58"/>
      <c r="B85" s="55"/>
    </row>
    <row r="86" spans="1:2">
      <c r="A86" s="59" t="str">
        <f>_xlfn.CONCAT("John", " ", "Doe")</f>
        <v>John Doe</v>
      </c>
      <c r="B86" s="55"/>
    </row>
    <row r="87" spans="1:2">
      <c r="A87" s="55"/>
      <c r="B87" s="55"/>
    </row>
    <row r="88" spans="1:2">
      <c r="A88" s="60" t="s">
        <v>106</v>
      </c>
      <c r="B88" s="55"/>
    </row>
    <row r="89" spans="1:2">
      <c r="A89" s="55"/>
      <c r="B89" s="55"/>
    </row>
    <row r="90" spans="1:2">
      <c r="A90" s="55"/>
      <c r="B90" s="55"/>
    </row>
    <row r="91" spans="1:2">
      <c r="A91" s="55"/>
      <c r="B91" s="55"/>
    </row>
    <row r="92" spans="1:2" ht="23.25">
      <c r="A92" s="54" t="s">
        <v>107</v>
      </c>
      <c r="B92" s="55"/>
    </row>
    <row r="93" spans="1:2">
      <c r="A93" s="55"/>
      <c r="B93" s="55"/>
    </row>
    <row r="94" spans="1:2" ht="45">
      <c r="A94" s="61" t="s">
        <v>108</v>
      </c>
      <c r="B94" s="61" t="s">
        <v>109</v>
      </c>
    </row>
    <row r="95" spans="1:2" ht="45">
      <c r="A95" s="62" t="s">
        <v>110</v>
      </c>
      <c r="B95" s="62" t="s">
        <v>111</v>
      </c>
    </row>
    <row r="96" spans="1:2" ht="45">
      <c r="A96" s="62" t="s">
        <v>112</v>
      </c>
      <c r="B96" s="62" t="s">
        <v>113</v>
      </c>
    </row>
    <row r="97" spans="1:2" ht="45">
      <c r="A97" s="62" t="s">
        <v>114</v>
      </c>
      <c r="B97" s="62" t="s">
        <v>115</v>
      </c>
    </row>
    <row r="98" spans="1:2" ht="75">
      <c r="A98" s="62" t="s">
        <v>116</v>
      </c>
      <c r="B98" s="62" t="s">
        <v>117</v>
      </c>
    </row>
    <row r="99" spans="1:2" ht="45">
      <c r="A99" s="62" t="s">
        <v>118</v>
      </c>
      <c r="B99" s="62" t="s">
        <v>119</v>
      </c>
    </row>
    <row r="100" spans="1:2">
      <c r="A100" s="55"/>
      <c r="B100" s="55"/>
    </row>
    <row r="102" spans="1:2" ht="18">
      <c r="A102" s="3"/>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97AE9-D75F-4B32-91CF-1DA1AA1AFFB4}">
  <dimension ref="A1:B84"/>
  <sheetViews>
    <sheetView workbookViewId="0">
      <selection activeCell="A32" sqref="A32"/>
    </sheetView>
  </sheetViews>
  <sheetFormatPr defaultRowHeight="15"/>
  <cols>
    <col min="1" max="1" width="179.85546875" customWidth="1"/>
  </cols>
  <sheetData>
    <row r="1" spans="1:1">
      <c r="A1" s="68" t="s">
        <v>148</v>
      </c>
    </row>
    <row r="3" spans="1:1" ht="18">
      <c r="A3" s="3" t="s">
        <v>78</v>
      </c>
    </row>
    <row r="4" spans="1:1">
      <c r="A4" s="66" t="s">
        <v>147</v>
      </c>
    </row>
    <row r="8" spans="1:1" ht="23.25">
      <c r="A8" s="54" t="s">
        <v>120</v>
      </c>
    </row>
    <row r="9" spans="1:1">
      <c r="A9" s="55"/>
    </row>
    <row r="10" spans="1:1" ht="18">
      <c r="A10" s="56" t="s">
        <v>121</v>
      </c>
    </row>
    <row r="11" spans="1:1">
      <c r="A11" s="57"/>
    </row>
    <row r="12" spans="1:1">
      <c r="A12" s="63" t="s">
        <v>122</v>
      </c>
    </row>
    <row r="13" spans="1:1">
      <c r="A13" s="57"/>
    </row>
    <row r="14" spans="1:1">
      <c r="A14" s="57" t="s">
        <v>123</v>
      </c>
    </row>
    <row r="15" spans="1:1">
      <c r="A15" s="55"/>
    </row>
    <row r="16" spans="1:1">
      <c r="A16" s="60" t="s">
        <v>124</v>
      </c>
    </row>
    <row r="17" spans="1:1">
      <c r="A17" s="58"/>
    </row>
    <row r="18" spans="1:1">
      <c r="A18" s="64">
        <f ca="1">TODAY()</f>
        <v>46008</v>
      </c>
    </row>
    <row r="19" spans="1:1">
      <c r="A19" s="55"/>
    </row>
    <row r="20" spans="1:1">
      <c r="A20" s="60" t="s">
        <v>125</v>
      </c>
    </row>
    <row r="21" spans="1:1">
      <c r="A21" s="55"/>
    </row>
    <row r="22" spans="1:1">
      <c r="A22" s="55"/>
    </row>
    <row r="23" spans="1:1">
      <c r="A23" s="55"/>
    </row>
    <row r="24" spans="1:1" ht="18">
      <c r="A24" s="56" t="s">
        <v>126</v>
      </c>
    </row>
    <row r="25" spans="1:1">
      <c r="A25" s="57"/>
    </row>
    <row r="26" spans="1:1">
      <c r="A26" s="57" t="s">
        <v>127</v>
      </c>
    </row>
    <row r="27" spans="1:1">
      <c r="A27" s="57"/>
    </row>
    <row r="28" spans="1:1">
      <c r="A28" s="57" t="s">
        <v>128</v>
      </c>
    </row>
    <row r="29" spans="1:1">
      <c r="A29" s="55"/>
    </row>
    <row r="30" spans="1:1">
      <c r="A30" s="60" t="s">
        <v>129</v>
      </c>
    </row>
    <row r="31" spans="1:1">
      <c r="A31" s="58"/>
    </row>
    <row r="32" spans="1:1">
      <c r="A32" s="69">
        <f ca="1">TODAY() - A2</f>
        <v>46008</v>
      </c>
    </row>
    <row r="33" spans="1:1">
      <c r="A33" s="55"/>
    </row>
    <row r="34" spans="1:1">
      <c r="A34" s="55" t="s">
        <v>130</v>
      </c>
    </row>
    <row r="35" spans="1:1">
      <c r="A35" s="55"/>
    </row>
    <row r="36" spans="1:1">
      <c r="A36" s="55"/>
    </row>
    <row r="37" spans="1:1">
      <c r="A37" s="55"/>
    </row>
    <row r="38" spans="1:1" ht="18">
      <c r="A38" s="56" t="s">
        <v>131</v>
      </c>
    </row>
    <row r="39" spans="1:1">
      <c r="A39" s="57"/>
    </row>
    <row r="40" spans="1:1">
      <c r="A40" s="57" t="s">
        <v>132</v>
      </c>
    </row>
    <row r="41" spans="1:1">
      <c r="A41" s="57"/>
    </row>
    <row r="42" spans="1:1">
      <c r="A42" s="57"/>
    </row>
    <row r="43" spans="1:1">
      <c r="A43" s="65"/>
    </row>
    <row r="44" spans="1:1">
      <c r="A44" s="65" t="s">
        <v>133</v>
      </c>
    </row>
    <row r="45" spans="1:1">
      <c r="A45" s="65"/>
    </row>
    <row r="46" spans="1:1">
      <c r="A46" s="65" t="s">
        <v>134</v>
      </c>
    </row>
    <row r="47" spans="1:1">
      <c r="A47" s="65"/>
    </row>
    <row r="48" spans="1:1">
      <c r="A48" s="65" t="s">
        <v>135</v>
      </c>
    </row>
    <row r="49" spans="1:1">
      <c r="A49" s="65"/>
    </row>
    <row r="50" spans="1:1">
      <c r="A50" s="65" t="s">
        <v>136</v>
      </c>
    </row>
    <row r="51" spans="1:1">
      <c r="A51" s="55"/>
    </row>
    <row r="52" spans="1:1">
      <c r="A52" s="60" t="s">
        <v>129</v>
      </c>
    </row>
    <row r="53" spans="1:1">
      <c r="A53" s="58"/>
    </row>
    <row r="54" spans="1:1">
      <c r="A54" s="36">
        <f ca="1">DATEDIF(A2, TODAY(), "D")</f>
        <v>46008</v>
      </c>
    </row>
    <row r="55" spans="1:1">
      <c r="A55" s="55"/>
    </row>
    <row r="56" spans="1:1">
      <c r="A56" s="55" t="s">
        <v>137</v>
      </c>
    </row>
    <row r="57" spans="1:1">
      <c r="A57" s="55"/>
    </row>
    <row r="58" spans="1:1">
      <c r="A58" s="55"/>
    </row>
    <row r="59" spans="1:1">
      <c r="A59" s="55"/>
    </row>
    <row r="60" spans="1:1" ht="18">
      <c r="A60" s="56" t="s">
        <v>138</v>
      </c>
    </row>
    <row r="61" spans="1:1">
      <c r="A61" s="57"/>
    </row>
    <row r="62" spans="1:1">
      <c r="A62" s="57" t="s">
        <v>139</v>
      </c>
    </row>
    <row r="63" spans="1:1">
      <c r="A63" s="57"/>
    </row>
    <row r="64" spans="1:1">
      <c r="A64" s="57" t="s">
        <v>140</v>
      </c>
    </row>
    <row r="65" spans="1:2">
      <c r="A65" s="55"/>
    </row>
    <row r="66" spans="1:2">
      <c r="A66" s="55"/>
    </row>
    <row r="67" spans="1:2">
      <c r="A67" s="55"/>
    </row>
    <row r="68" spans="1:2" ht="18">
      <c r="A68" s="56" t="s">
        <v>141</v>
      </c>
    </row>
    <row r="69" spans="1:2">
      <c r="A69" s="57"/>
    </row>
    <row r="70" spans="1:2">
      <c r="A70" s="57" t="s">
        <v>142</v>
      </c>
    </row>
    <row r="71" spans="1:2">
      <c r="A71" s="55"/>
    </row>
    <row r="72" spans="1:2">
      <c r="A72" s="60" t="s">
        <v>129</v>
      </c>
    </row>
    <row r="73" spans="1:2">
      <c r="A73" s="58"/>
    </row>
    <row r="74" spans="1:2">
      <c r="A74" s="59" t="str">
        <f ca="1">IF(TODAY() &gt; B2, "Expired", "Active")</f>
        <v>Expired</v>
      </c>
    </row>
    <row r="75" spans="1:2">
      <c r="A75" s="55"/>
      <c r="B75" s="20"/>
    </row>
    <row r="76" spans="1:2">
      <c r="A76" s="55" t="s">
        <v>143</v>
      </c>
      <c r="B76" s="21"/>
    </row>
    <row r="77" spans="1:2">
      <c r="A77" s="55"/>
      <c r="B77" s="21"/>
    </row>
    <row r="78" spans="1:2">
      <c r="A78" s="55"/>
      <c r="B78" s="21"/>
    </row>
    <row r="79" spans="1:2">
      <c r="A79" s="55"/>
      <c r="B79" s="21"/>
    </row>
    <row r="80" spans="1:2" ht="18">
      <c r="A80" s="56" t="s">
        <v>144</v>
      </c>
      <c r="B80" s="21"/>
    </row>
    <row r="81" spans="1:1">
      <c r="A81" s="57"/>
    </row>
    <row r="82" spans="1:1">
      <c r="A82" s="57" t="s">
        <v>145</v>
      </c>
    </row>
    <row r="83" spans="1:1">
      <c r="A83" s="57"/>
    </row>
    <row r="84" spans="1:1">
      <c r="A84" s="57" t="s">
        <v>146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73734-F349-42E7-B8B0-E0DF88821A58}">
  <dimension ref="A1:E15"/>
  <sheetViews>
    <sheetView topLeftCell="A2" workbookViewId="0">
      <selection activeCell="C6" sqref="C6"/>
    </sheetView>
  </sheetViews>
  <sheetFormatPr defaultRowHeight="15"/>
  <cols>
    <col min="1" max="1" width="148.28515625" customWidth="1"/>
    <col min="5" max="5" width="12.140625" customWidth="1"/>
  </cols>
  <sheetData>
    <row r="1" spans="1:5" ht="126">
      <c r="A1" s="74" t="s">
        <v>149</v>
      </c>
      <c r="E1" s="77"/>
    </row>
    <row r="2" spans="1:5">
      <c r="A2" s="1"/>
      <c r="C2" s="76" t="s">
        <v>77</v>
      </c>
    </row>
    <row r="3" spans="1:5" ht="21.75" thickBot="1">
      <c r="A3" s="75" t="s">
        <v>150</v>
      </c>
    </row>
    <row r="4" spans="1:5" ht="21">
      <c r="A4" s="71" t="s">
        <v>151</v>
      </c>
      <c r="E4" s="78" t="s">
        <v>161</v>
      </c>
    </row>
    <row r="5" spans="1:5" ht="21">
      <c r="A5" s="72" t="s">
        <v>157</v>
      </c>
      <c r="C5" t="s">
        <v>162</v>
      </c>
      <c r="E5" s="79"/>
    </row>
    <row r="6" spans="1:5" ht="21">
      <c r="A6" s="72" t="s">
        <v>156</v>
      </c>
      <c r="E6" s="79"/>
    </row>
    <row r="7" spans="1:5" ht="21">
      <c r="A7" s="72" t="s">
        <v>155</v>
      </c>
      <c r="E7" s="79"/>
    </row>
    <row r="8" spans="1:5" ht="21">
      <c r="A8" s="72" t="s">
        <v>154</v>
      </c>
      <c r="E8" s="79"/>
    </row>
    <row r="9" spans="1:5" ht="21">
      <c r="A9" s="72" t="s">
        <v>153</v>
      </c>
      <c r="E9" s="79"/>
    </row>
    <row r="10" spans="1:5" ht="21">
      <c r="A10" s="72" t="s">
        <v>152</v>
      </c>
      <c r="E10" s="79"/>
    </row>
    <row r="11" spans="1:5" ht="21">
      <c r="A11" s="72" t="s">
        <v>158</v>
      </c>
      <c r="E11" s="79"/>
    </row>
    <row r="12" spans="1:5" ht="21">
      <c r="A12" s="72" t="s">
        <v>160</v>
      </c>
      <c r="E12" s="79"/>
    </row>
    <row r="13" spans="1:5" ht="21.75" thickBot="1">
      <c r="A13" s="73" t="s">
        <v>159</v>
      </c>
      <c r="E13" s="79"/>
    </row>
    <row r="15" spans="1:5">
      <c r="A15" s="17"/>
    </row>
  </sheetData>
  <dataValidations count="1">
    <dataValidation type="whole" allowBlank="1" showInputMessage="1" showErrorMessage="1" errorTitle="Invalid input!" error="The quantity must be a whole number between 1 and 10." promptTitle="QUANTITY REQUIRED" prompt="Please enter a whole number between 1 and 10." sqref="E5:E12" xr:uid="{20D91BBC-7E2F-433C-905F-884F9BF0B4C8}">
      <formula1>1</formula1>
      <formula2>10</formula2>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B7269-BC2F-409F-998E-17A60D6739EA}">
  <dimension ref="A1:A59"/>
  <sheetViews>
    <sheetView topLeftCell="A55" workbookViewId="0">
      <selection activeCell="A46" sqref="A46"/>
    </sheetView>
  </sheetViews>
  <sheetFormatPr defaultRowHeight="15"/>
  <cols>
    <col min="1" max="1" width="155" customWidth="1"/>
  </cols>
  <sheetData>
    <row r="1" spans="1:1" ht="112.5">
      <c r="A1" s="80" t="s">
        <v>163</v>
      </c>
    </row>
    <row r="2" spans="1:1">
      <c r="A2" s="1"/>
    </row>
    <row r="3" spans="1:1">
      <c r="A3" s="81" t="s">
        <v>77</v>
      </c>
    </row>
    <row r="4" spans="1:1" ht="18">
      <c r="A4" s="82" t="s">
        <v>164</v>
      </c>
    </row>
    <row r="5" spans="1:1">
      <c r="A5" s="83"/>
    </row>
    <row r="6" spans="1:1">
      <c r="A6" s="83" t="s">
        <v>165</v>
      </c>
    </row>
    <row r="7" spans="1:1">
      <c r="A7" s="84"/>
    </row>
    <row r="8" spans="1:1">
      <c r="A8" s="86" t="str">
        <f>LEFT("ExcelTipsAreGreat", 5)</f>
        <v>Excel</v>
      </c>
    </row>
    <row r="9" spans="1:1">
      <c r="A9" s="83"/>
    </row>
    <row r="10" spans="1:1">
      <c r="A10" s="85" t="s">
        <v>166</v>
      </c>
    </row>
    <row r="11" spans="1:1">
      <c r="A11" s="83" t="s">
        <v>167</v>
      </c>
    </row>
    <row r="12" spans="1:1" ht="18">
      <c r="A12" s="40" t="s">
        <v>168</v>
      </c>
    </row>
    <row r="13" spans="1:1">
      <c r="A13" s="39"/>
    </row>
    <row r="14" spans="1:1">
      <c r="A14" s="39" t="s">
        <v>169</v>
      </c>
    </row>
    <row r="15" spans="1:1">
      <c r="A15" s="42"/>
    </row>
    <row r="16" spans="1:1">
      <c r="A16" s="87" t="str">
        <f>RIGHT("DataAnalysis.xlsx", 4)</f>
        <v>xlsx</v>
      </c>
    </row>
    <row r="17" spans="1:1">
      <c r="A17" s="39"/>
    </row>
    <row r="18" spans="1:1">
      <c r="A18" s="44" t="s">
        <v>170</v>
      </c>
    </row>
    <row r="19" spans="1:1">
      <c r="A19" s="39" t="s">
        <v>171</v>
      </c>
    </row>
    <row r="20" spans="1:1" ht="18">
      <c r="A20" s="47" t="s">
        <v>172</v>
      </c>
    </row>
    <row r="21" spans="1:1">
      <c r="A21" s="46"/>
    </row>
    <row r="22" spans="1:1">
      <c r="A22" s="46" t="s">
        <v>173</v>
      </c>
    </row>
    <row r="23" spans="1:1">
      <c r="A23" s="49"/>
    </row>
    <row r="24" spans="1:1">
      <c r="A24" s="89" t="str">
        <f>MID("ExcelTipsAreGreat", 6, 4)</f>
        <v>Tips</v>
      </c>
    </row>
    <row r="25" spans="1:1">
      <c r="A25" s="46"/>
    </row>
    <row r="26" spans="1:1">
      <c r="A26" s="51" t="s">
        <v>174</v>
      </c>
    </row>
    <row r="27" spans="1:1">
      <c r="A27" s="48"/>
    </row>
    <row r="28" spans="1:1">
      <c r="A28" s="48" t="s">
        <v>175</v>
      </c>
    </row>
    <row r="29" spans="1:1">
      <c r="A29" s="48"/>
    </row>
    <row r="30" spans="1:1">
      <c r="A30" s="48" t="s">
        <v>176</v>
      </c>
    </row>
    <row r="31" spans="1:1">
      <c r="A31" s="88" t="s">
        <v>177</v>
      </c>
    </row>
    <row r="32" spans="1:1">
      <c r="A32" s="48" t="s">
        <v>178</v>
      </c>
    </row>
    <row r="33" spans="1:1" ht="18">
      <c r="A33" s="90" t="s">
        <v>179</v>
      </c>
    </row>
    <row r="34" spans="1:1">
      <c r="A34" s="91"/>
    </row>
    <row r="35" spans="1:1">
      <c r="A35" s="91" t="s">
        <v>180</v>
      </c>
    </row>
    <row r="36" spans="1:1">
      <c r="A36" s="92"/>
    </row>
    <row r="37" spans="1:1">
      <c r="A37" s="94">
        <f>LEN("Hello World!")</f>
        <v>12</v>
      </c>
    </row>
    <row r="38" spans="1:1">
      <c r="A38" s="91"/>
    </row>
    <row r="39" spans="1:1">
      <c r="A39" s="93" t="s">
        <v>181</v>
      </c>
    </row>
    <row r="40" spans="1:1">
      <c r="A40" s="91" t="s">
        <v>182</v>
      </c>
    </row>
    <row r="42" spans="1:1" ht="18">
      <c r="A42" s="95" t="s">
        <v>183</v>
      </c>
    </row>
    <row r="43" spans="1:1">
      <c r="A43" s="70"/>
    </row>
    <row r="44" spans="1:1">
      <c r="A44" s="70" t="s">
        <v>184</v>
      </c>
    </row>
    <row r="45" spans="1:1">
      <c r="A45" s="96"/>
    </row>
    <row r="46" spans="1:1">
      <c r="A46" s="86" t="str">
        <f>MID("12345-67890-ABCDE", 7, 6)</f>
        <v>67890-</v>
      </c>
    </row>
    <row r="47" spans="1:1">
      <c r="A47" s="70"/>
    </row>
    <row r="48" spans="1:1">
      <c r="A48" s="97" t="s">
        <v>174</v>
      </c>
    </row>
    <row r="49" spans="1:1">
      <c r="A49" s="98"/>
    </row>
    <row r="50" spans="1:1">
      <c r="A50" s="98" t="s">
        <v>185</v>
      </c>
    </row>
    <row r="51" spans="1:1">
      <c r="A51" s="98"/>
    </row>
    <row r="52" spans="1:1">
      <c r="A52" s="98" t="s">
        <v>186</v>
      </c>
    </row>
    <row r="53" spans="1:1">
      <c r="A53" s="99" t="s">
        <v>187</v>
      </c>
    </row>
    <row r="54" spans="1:1">
      <c r="A54" s="70"/>
    </row>
    <row r="55" spans="1:1">
      <c r="A55" s="70" t="s">
        <v>188</v>
      </c>
    </row>
    <row r="56" spans="1:1">
      <c r="A56" s="96"/>
    </row>
    <row r="57" spans="1:1">
      <c r="A57" s="86" t="str">
        <f>MID("12345-67890-ABCDE", 7, 5)</f>
        <v>67890</v>
      </c>
    </row>
    <row r="58" spans="1:1">
      <c r="A58" s="70"/>
    </row>
    <row r="59" spans="1:1">
      <c r="A59" s="97" t="s">
        <v>189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F7A2F-3A22-4A4C-915F-574D9F03CB55}">
  <dimension ref="A1:A66"/>
  <sheetViews>
    <sheetView topLeftCell="A64" workbookViewId="0">
      <selection activeCell="A44" sqref="A44"/>
    </sheetView>
  </sheetViews>
  <sheetFormatPr defaultRowHeight="15"/>
  <cols>
    <col min="1" max="1" width="134.7109375" customWidth="1"/>
  </cols>
  <sheetData>
    <row r="1" spans="1:1" ht="131.25">
      <c r="A1" s="100" t="s">
        <v>190</v>
      </c>
    </row>
    <row r="3" spans="1:1">
      <c r="A3" s="101" t="s">
        <v>77</v>
      </c>
    </row>
    <row r="4" spans="1:1" ht="23.25">
      <c r="A4" s="67" t="s">
        <v>191</v>
      </c>
    </row>
    <row r="5" spans="1:1">
      <c r="A5" s="96"/>
    </row>
    <row r="6" spans="1:1">
      <c r="A6" s="103" t="str">
        <f>_xlfn.CONCAT("Hello", " ", "World")</f>
        <v>Hello World</v>
      </c>
    </row>
    <row r="7" spans="1:1">
      <c r="A7" s="70"/>
    </row>
    <row r="8" spans="1:1">
      <c r="A8" s="102"/>
    </row>
    <row r="9" spans="1:1">
      <c r="A9" s="104" t="s">
        <v>192</v>
      </c>
    </row>
    <row r="11" spans="1:1" ht="23.25">
      <c r="A11" s="105" t="s">
        <v>193</v>
      </c>
    </row>
    <row r="12" spans="1:1">
      <c r="A12" s="84"/>
    </row>
    <row r="13" spans="1:1">
      <c r="A13" s="50" t="str">
        <f>_xlfn.TEXTJOIN(", ", TRUE, "Apple", "Banana", "Cherry")</f>
        <v>Apple, Banana, Cherry</v>
      </c>
    </row>
    <row r="14" spans="1:1">
      <c r="A14" s="83"/>
    </row>
    <row r="15" spans="1:1">
      <c r="A15" s="83" t="s">
        <v>194</v>
      </c>
    </row>
    <row r="16" spans="1:1">
      <c r="A16" s="106"/>
    </row>
    <row r="17" spans="1:1">
      <c r="A17" s="83"/>
    </row>
    <row r="18" spans="1:1">
      <c r="A18" s="85" t="s">
        <v>195</v>
      </c>
    </row>
    <row r="20" spans="1:1" ht="23.25">
      <c r="A20" s="107" t="s">
        <v>196</v>
      </c>
    </row>
    <row r="21" spans="1:1">
      <c r="A21" s="108"/>
    </row>
    <row r="22" spans="1:1">
      <c r="A22" s="94" t="str">
        <f>"2025" &amp; ": " &amp; "Excel Functions"</f>
        <v>2025: Excel Functions</v>
      </c>
    </row>
    <row r="23" spans="1:1">
      <c r="A23" s="109"/>
    </row>
    <row r="24" spans="1:1">
      <c r="A24" s="110"/>
    </row>
    <row r="25" spans="1:1">
      <c r="A25" s="109"/>
    </row>
    <row r="26" spans="1:1">
      <c r="A26" s="111" t="s">
        <v>197</v>
      </c>
    </row>
    <row r="28" spans="1:1">
      <c r="A28" s="113" t="s">
        <v>198</v>
      </c>
    </row>
    <row r="29" spans="1:1">
      <c r="A29" s="114"/>
    </row>
    <row r="30" spans="1:1" ht="114">
      <c r="A30" s="118" t="str">
        <f>_xlfn.TEXTJOIN(", ", TRUE, A1:A5)</f>
        <v>Q.7 Understand how to combine text using CONCAT, TEXTJOIN, and the &amp; operator.
Use CONCAT to combine "Hello" and "World" with a space in between.
Combine "Apple", "Banana", and "Cherry" into a single string separated by commas using TEXTJOIN.
Use the &amp; operator to create the string "2025: Excel Functions" by combining "2025", ": ", and "Excel 
Functions".
Create a comma-separated list from the range A1:A5 using TEXTJOIN
Combine first names in column A with last names in column B to create full names in column C., Answer:,  1. Use CONCAT to combine “Hello” and “World” with a space</v>
      </c>
    </row>
    <row r="31" spans="1:1">
      <c r="A31" s="115"/>
    </row>
    <row r="32" spans="1:1">
      <c r="A32" s="115" t="s">
        <v>201</v>
      </c>
    </row>
    <row r="33" spans="1:1">
      <c r="A33" s="116"/>
    </row>
    <row r="34" spans="1:1">
      <c r="A34" s="115"/>
    </row>
    <row r="35" spans="1:1">
      <c r="A35" s="112" t="s">
        <v>199</v>
      </c>
    </row>
    <row r="36" spans="1:1">
      <c r="A36" s="117" t="s">
        <v>200</v>
      </c>
    </row>
    <row r="38" spans="1:1" ht="23.25">
      <c r="A38" s="119" t="s">
        <v>202</v>
      </c>
    </row>
    <row r="39" spans="1:1">
      <c r="A39" s="120"/>
    </row>
    <row r="40" spans="1:1" ht="18">
      <c r="A40" s="121" t="s">
        <v>228</v>
      </c>
    </row>
    <row r="41" spans="1:1">
      <c r="A41" s="120"/>
    </row>
    <row r="42" spans="1:1">
      <c r="A42" s="120" t="s">
        <v>203</v>
      </c>
    </row>
    <row r="43" spans="1:1">
      <c r="A43" s="122"/>
    </row>
    <row r="44" spans="1:1" ht="89.25">
      <c r="A44" s="124" t="str">
        <f>_xlfn.CONCAT(A1, " ", B1)</f>
        <v xml:space="preserve">Q.7 Understand how to combine text using CONCAT, TEXTJOIN, and the &amp; operator.
Use CONCAT to combine "Hello" and "World" with a space in between.
Combine "Apple", "Banana", and "Cherry" into a single string separated by commas using TEXTJOIN.
Use the &amp; operator to create the string "2025: Excel Functions" by combining "2025", ": ", and "Excel 
Functions".
Create a comma-separated list from the range A1:A5 using TEXTJOIN
Combine first names in column A with last names in column B to create full names in column C. </v>
      </c>
    </row>
    <row r="45" spans="1:1">
      <c r="A45" s="120"/>
    </row>
    <row r="46" spans="1:1">
      <c r="A46" s="123"/>
    </row>
    <row r="47" spans="1:1">
      <c r="A47" s="120"/>
    </row>
    <row r="48" spans="1:1">
      <c r="A48" s="120" t="s">
        <v>204</v>
      </c>
    </row>
    <row r="49" spans="1:1">
      <c r="A49" s="120"/>
    </row>
    <row r="50" spans="1:1">
      <c r="A50" s="120"/>
    </row>
    <row r="51" spans="1:1">
      <c r="A51" s="120"/>
    </row>
    <row r="52" spans="1:1" ht="18">
      <c r="A52" s="121" t="s">
        <v>206</v>
      </c>
    </row>
    <row r="53" spans="1:1">
      <c r="A53" s="120"/>
    </row>
    <row r="54" spans="1:1">
      <c r="A54" s="120" t="s">
        <v>205</v>
      </c>
    </row>
    <row r="55" spans="1:1">
      <c r="A55" s="122"/>
    </row>
    <row r="56" spans="1:1" ht="89.25">
      <c r="A56" s="125" t="str">
        <f>A1 &amp; " " &amp; B1</f>
        <v xml:space="preserve">Q.7 Understand how to combine text using CONCAT, TEXTJOIN, and the &amp; operator.
Use CONCAT to combine "Hello" and "World" with a space in between.
Combine "Apple", "Banana", and "Cherry" into a single string separated by commas using TEXTJOIN.
Use the &amp; operator to create the string "2025: Excel Functions" by combining "2025", ": ", and "Excel 
Functions".
Create a comma-separated list from the range A1:A5 using TEXTJOIN
Combine first names in column A with last names in column B to create full names in column C. </v>
      </c>
    </row>
    <row r="57" spans="1:1">
      <c r="A57" s="120"/>
    </row>
    <row r="58" spans="1:1">
      <c r="A58" s="123"/>
    </row>
    <row r="59" spans="1:1">
      <c r="A59" s="120"/>
    </row>
    <row r="60" spans="1:1">
      <c r="A60" s="120"/>
    </row>
    <row r="61" spans="1:1">
      <c r="A61" s="120"/>
    </row>
    <row r="62" spans="1:1" ht="18">
      <c r="A62" s="121" t="s">
        <v>207</v>
      </c>
    </row>
    <row r="63" spans="1:1">
      <c r="A63" s="122"/>
    </row>
    <row r="64" spans="1:1" ht="89.25">
      <c r="A64" s="124" t="str">
        <f>_xlfn.TEXTJOIN(" ", TRUE, A1, B1)</f>
        <v>Q.7 Understand how to combine text using CONCAT, TEXTJOIN, and the &amp; operator.
Use CONCAT to combine "Hello" and "World" with a space in between.
Combine "Apple", "Banana", and "Cherry" into a single string separated by commas using TEXTJOIN.
Use the &amp; operator to create the string "2025: Excel Functions" by combining "2025", ": ", and "Excel 
Functions".
Create a comma-separated list from the range A1:A5 using TEXTJOIN
Combine first names in column A with last names in column B to create full names in column C.</v>
      </c>
    </row>
    <row r="65" spans="1:1">
      <c r="A65" s="120"/>
    </row>
    <row r="66" spans="1:1">
      <c r="A66" s="120" t="s">
        <v>208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9084D-A669-42E6-BF20-303B9557A675}">
  <dimension ref="A1:A42"/>
  <sheetViews>
    <sheetView topLeftCell="A34" workbookViewId="0">
      <selection activeCell="A43" sqref="A43"/>
    </sheetView>
  </sheetViews>
  <sheetFormatPr defaultRowHeight="15"/>
  <cols>
    <col min="1" max="1" width="150.140625" customWidth="1"/>
  </cols>
  <sheetData>
    <row r="1" spans="1:1" ht="112.5">
      <c r="A1" s="126" t="s">
        <v>209</v>
      </c>
    </row>
    <row r="3" spans="1:1" ht="18.75">
      <c r="A3" s="127" t="s">
        <v>77</v>
      </c>
    </row>
    <row r="4" spans="1:1" ht="23.25">
      <c r="A4" s="67" t="s">
        <v>210</v>
      </c>
    </row>
    <row r="5" spans="1:1">
      <c r="A5" s="98"/>
    </row>
    <row r="6" spans="1:1" ht="30">
      <c r="A6" s="130" t="s">
        <v>211</v>
      </c>
    </row>
    <row r="7" spans="1:1">
      <c r="A7" s="129" t="s">
        <v>214</v>
      </c>
    </row>
    <row r="8" spans="1:1">
      <c r="A8" s="70"/>
    </row>
    <row r="9" spans="1:1" ht="30">
      <c r="A9" s="130" t="s">
        <v>212</v>
      </c>
    </row>
    <row r="10" spans="1:1">
      <c r="A10" s="99" t="s">
        <v>213</v>
      </c>
    </row>
    <row r="12" spans="1:1" ht="23.25">
      <c r="A12" s="9" t="s">
        <v>215</v>
      </c>
    </row>
    <row r="13" spans="1:1">
      <c r="A13" s="10"/>
    </row>
    <row r="14" spans="1:1">
      <c r="A14" s="10" t="s">
        <v>216</v>
      </c>
    </row>
    <row r="15" spans="1:1">
      <c r="A15" s="131"/>
    </row>
    <row r="16" spans="1:1">
      <c r="A16" s="69" t="e">
        <f ca="1">A1 - TODAY()</f>
        <v>#VALUE!</v>
      </c>
    </row>
    <row r="17" spans="1:1">
      <c r="A17" s="10"/>
    </row>
    <row r="18" spans="1:1" ht="30">
      <c r="A18" s="132" t="s">
        <v>217</v>
      </c>
    </row>
    <row r="20" spans="1:1" ht="330">
      <c r="A20" s="133" t="s">
        <v>218</v>
      </c>
    </row>
    <row r="23" spans="1:1" ht="23.25">
      <c r="A23" s="134" t="s">
        <v>219</v>
      </c>
    </row>
    <row r="24" spans="1:1">
      <c r="A24" s="135"/>
    </row>
    <row r="25" spans="1:1">
      <c r="A25" s="135" t="s">
        <v>220</v>
      </c>
    </row>
    <row r="26" spans="1:1">
      <c r="A26" s="136"/>
    </row>
    <row r="27" spans="1:1">
      <c r="A27" s="69">
        <f ca="1">TODAY()</f>
        <v>46008</v>
      </c>
    </row>
    <row r="28" spans="1:1">
      <c r="A28" s="135"/>
    </row>
    <row r="29" spans="1:1">
      <c r="A29" s="135" t="s">
        <v>221</v>
      </c>
    </row>
    <row r="30" spans="1:1">
      <c r="A30" s="135"/>
    </row>
    <row r="31" spans="1:1">
      <c r="A31" s="137" t="s">
        <v>222</v>
      </c>
    </row>
    <row r="33" spans="1:1" ht="23.25">
      <c r="A33" s="38" t="s">
        <v>223</v>
      </c>
    </row>
    <row r="34" spans="1:1">
      <c r="A34" s="39"/>
    </row>
    <row r="35" spans="1:1">
      <c r="A35" s="39" t="s">
        <v>224</v>
      </c>
    </row>
    <row r="36" spans="1:1">
      <c r="A36" s="41"/>
    </row>
    <row r="37" spans="1:1">
      <c r="A37" s="41" t="s">
        <v>225</v>
      </c>
    </row>
    <row r="38" spans="1:1">
      <c r="A38" s="42"/>
    </row>
    <row r="39" spans="1:1">
      <c r="A39" s="43" t="s">
        <v>226</v>
      </c>
    </row>
    <row r="40" spans="1:1">
      <c r="A40" s="128"/>
    </row>
    <row r="42" spans="1:1">
      <c r="A42" s="138" t="s">
        <v>227</v>
      </c>
    </row>
  </sheetData>
  <hyperlinks>
    <hyperlink ref="A7" r:id="rId1" display="https://excel-tutorial.com/now-today/?utm_source=chatgpt.com" xr:uid="{86CFDEBB-7EE2-495B-99CF-5807B3C92E96}"/>
    <hyperlink ref="A31" r:id="rId2" display="https://www.thebricks.com/resources/how-to-use-the-today-function-in-excel-a-step-by-step-guide?utm_source=chatgpt.com" xr:uid="{7A6E18E9-EF5C-4E25-B52A-8999617C06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Q.1</vt:lpstr>
      <vt:lpstr>Q.2</vt:lpstr>
      <vt:lpstr>Q.3</vt:lpstr>
      <vt:lpstr>Q.4</vt:lpstr>
      <vt:lpstr>Q.5</vt:lpstr>
      <vt:lpstr>Q.6</vt:lpstr>
      <vt:lpstr>Q.7</vt:lpstr>
      <vt:lpstr>Q.8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2025-12-16T15:05:25Z</dcterms:created>
  <dcterms:modified xsi:type="dcterms:W3CDTF">2025-12-17T05:26:26Z</dcterms:modified>
</cp:coreProperties>
</file>